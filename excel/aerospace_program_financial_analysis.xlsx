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44c44f5c3ffb7b/Documents/"/>
    </mc:Choice>
  </mc:AlternateContent>
  <xr:revisionPtr revIDLastSave="98" documentId="8_{59E7B995-4C7B-4A12-A373-2288F3EEEB70}" xr6:coauthVersionLast="47" xr6:coauthVersionMax="47" xr10:uidLastSave="{528D3A58-9817-8743-8916-09C4C17E572A}"/>
  <bookViews>
    <workbookView xWindow="16680" yWindow="500" windowWidth="16920" windowHeight="19040" activeTab="1" xr2:uid="{2863030C-573E-094E-88A6-947C869BBDC1}"/>
  </bookViews>
  <sheets>
    <sheet name="Raw_Data" sheetId="1" r:id="rId1"/>
    <sheet name="Excel_Analysis" sheetId="2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M305" i="1"/>
  <c r="M308" i="1"/>
  <c r="M317" i="1"/>
  <c r="M320" i="1"/>
  <c r="M321" i="1"/>
  <c r="M353" i="1"/>
  <c r="M355" i="1"/>
  <c r="M377" i="1"/>
  <c r="M379" i="1"/>
  <c r="M380" i="1"/>
  <c r="M389" i="1"/>
  <c r="M413" i="1"/>
  <c r="M485" i="1"/>
  <c r="M487" i="1"/>
  <c r="M488" i="1"/>
  <c r="M489" i="1"/>
  <c r="M497" i="1"/>
  <c r="M557" i="1"/>
  <c r="M569" i="1"/>
  <c r="M593" i="1"/>
  <c r="M605" i="1"/>
  <c r="M607" i="1"/>
  <c r="M641" i="1"/>
  <c r="M643" i="1"/>
  <c r="M665" i="1"/>
  <c r="M667" i="1"/>
  <c r="M668" i="1"/>
  <c r="M737" i="1"/>
  <c r="M749" i="1"/>
  <c r="M751" i="1"/>
  <c r="M752" i="1"/>
  <c r="M753" i="1"/>
  <c r="M754" i="1"/>
  <c r="M773" i="1"/>
  <c r="M809" i="1"/>
  <c r="M811" i="1"/>
  <c r="M812" i="1"/>
  <c r="M821" i="1"/>
  <c r="M845" i="1"/>
  <c r="M857" i="1"/>
  <c r="L2" i="1"/>
  <c r="M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L306" i="1"/>
  <c r="M306" i="1" s="1"/>
  <c r="L307" i="1"/>
  <c r="M307" i="1" s="1"/>
  <c r="L308" i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L318" i="1"/>
  <c r="M318" i="1" s="1"/>
  <c r="L319" i="1"/>
  <c r="M319" i="1" s="1"/>
  <c r="L320" i="1"/>
  <c r="L321" i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L354" i="1"/>
  <c r="M354" i="1" s="1"/>
  <c r="L355" i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L378" i="1"/>
  <c r="M378" i="1" s="1"/>
  <c r="L379" i="1"/>
  <c r="L380" i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L486" i="1"/>
  <c r="M486" i="1" s="1"/>
  <c r="L487" i="1"/>
  <c r="L488" i="1"/>
  <c r="L489" i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L606" i="1"/>
  <c r="M606" i="1" s="1"/>
  <c r="L607" i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L642" i="1"/>
  <c r="M642" i="1" s="1"/>
  <c r="L643" i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L666" i="1"/>
  <c r="M666" i="1" s="1"/>
  <c r="L667" i="1"/>
  <c r="L668" i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L750" i="1"/>
  <c r="M750" i="1" s="1"/>
  <c r="L751" i="1"/>
  <c r="L752" i="1"/>
  <c r="L753" i="1"/>
  <c r="L754" i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L807" i="1"/>
  <c r="M807" i="1" s="1"/>
  <c r="L808" i="1"/>
  <c r="M808" i="1" s="1"/>
  <c r="L809" i="1"/>
  <c r="L810" i="1"/>
  <c r="M810" i="1" s="1"/>
  <c r="L811" i="1"/>
  <c r="L812" i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L844" i="1"/>
  <c r="M844" i="1" s="1"/>
  <c r="L845" i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M865" i="1" s="1"/>
</calcChain>
</file>

<file path=xl/sharedStrings.xml><?xml version="1.0" encoding="utf-8"?>
<sst xmlns="http://schemas.openxmlformats.org/spreadsheetml/2006/main" count="5239" uniqueCount="58">
  <si>
    <t>program_id</t>
  </si>
  <si>
    <t>program_name</t>
  </si>
  <si>
    <t>customer_type</t>
  </si>
  <si>
    <t>program_type</t>
  </si>
  <si>
    <t>program_manager</t>
  </si>
  <si>
    <t>reporting_month</t>
  </si>
  <si>
    <t>cost_category</t>
  </si>
  <si>
    <t>budget_cost</t>
  </si>
  <si>
    <t>actual_cost</t>
  </si>
  <si>
    <t>earned_value</t>
  </si>
  <si>
    <t>forecast_cost</t>
  </si>
  <si>
    <t>AP-101</t>
  </si>
  <si>
    <t>Falcon</t>
  </si>
  <si>
    <t>DoD</t>
  </si>
  <si>
    <t>Aircraft</t>
  </si>
  <si>
    <t>Sarah Chen</t>
  </si>
  <si>
    <t>Labor</t>
  </si>
  <si>
    <t>Materials</t>
  </si>
  <si>
    <t>Subcontracts</t>
  </si>
  <si>
    <t>Overhead</t>
  </si>
  <si>
    <t>Travel</t>
  </si>
  <si>
    <t>Other Direct Costs</t>
  </si>
  <si>
    <t>AP-102</t>
  </si>
  <si>
    <t>Sentinel</t>
  </si>
  <si>
    <t>Missile Systems</t>
  </si>
  <si>
    <t>Marcus Reed</t>
  </si>
  <si>
    <t>AP-103</t>
  </si>
  <si>
    <t>Orion</t>
  </si>
  <si>
    <t>NASA</t>
  </si>
  <si>
    <t>Space Systems</t>
  </si>
  <si>
    <t>Elena Torres</t>
  </si>
  <si>
    <t>AP-104</t>
  </si>
  <si>
    <t>Atlas</t>
  </si>
  <si>
    <t>Commercial</t>
  </si>
  <si>
    <t>Satellite Systems</t>
  </si>
  <si>
    <t>David Kim</t>
  </si>
  <si>
    <t>AP-105</t>
  </si>
  <si>
    <t>Vanguard</t>
  </si>
  <si>
    <t>Autonomous Systems</t>
  </si>
  <si>
    <t>Priya Shah</t>
  </si>
  <si>
    <t>AP-106</t>
  </si>
  <si>
    <t>Horizon</t>
  </si>
  <si>
    <t>Michael Grant</t>
  </si>
  <si>
    <t>budget_variance</t>
  </si>
  <si>
    <t>budget_variance_pct</t>
  </si>
  <si>
    <t>cost_variance</t>
  </si>
  <si>
    <t>cpi</t>
  </si>
  <si>
    <t>Row Labels</t>
  </si>
  <si>
    <t>Grand Total</t>
  </si>
  <si>
    <t>Sum of budget_cost</t>
  </si>
  <si>
    <t>Sum of actual_cost</t>
  </si>
  <si>
    <t>Sum of budget_variance</t>
  </si>
  <si>
    <t>Column Labels</t>
  </si>
  <si>
    <t>Preliminary Financial Analysis — Key Findings</t>
  </si>
  <si>
    <t>1. Portfolio performance
The six-program portfolio finished approximately $2.62M over budget across the reporting period.</t>
  </si>
  <si>
    <t>2. Primary programs requiring attention
Orion and Sentinel were the primary drivers of unfavorable portfolio cost variance, with total budget variances of approximately $1.56M and $888K, respectively.</t>
  </si>
  <si>
    <t>3. Orion variance driver
Orion's performance was primarily driven by Materials, which generated approximately $1.07M in unfavorable variance. The sustained Materials overrun began in June 2024 and persisted through the remainder of the reporting period.</t>
  </si>
  <si>
    <t>4. Sentinel variance driver
Sentinel's performance was primarily driven by Labor, which generated approximately $845K in unfavorable variance. The sustained Labor overrun began in August 2024 and persisted through the remainder of the reporting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</si>
</sst>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0"/>
      <color rgb="FF1F1F1F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5B9BD5"/>
      </left>
      <right/>
      <top/>
      <bottom/>
      <diagonal/>
    </border>
    <border>
      <left style="thick">
        <color rgb="FF5B9BD5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5" fontId="0" fillId="0" borderId="0" xfId="1" applyNumberFormat="1" applyFont="1"/>
    <xf numFmtId="2" fontId="0" fillId="0" borderId="0" xfId="0" applyNumberFormat="1"/>
    <xf numFmtId="2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4" fontId="0" fillId="0" borderId="0" xfId="0" applyNumberFormat="1" applyAlignment="1">
      <alignment horizontal="left"/>
    </xf>
    <xf numFmtId="0" fontId="18" fillId="33" borderId="0" xfId="0" applyFont="1" applyFill="1" applyAlignment="1">
      <alignment horizontal="left" vertical="center"/>
    </xf>
    <xf numFmtId="0" fontId="19" fillId="34" borderId="0" xfId="0" applyFont="1" applyFill="1" applyBorder="1" applyAlignment="1">
      <alignment horizontal="left" vertical="center" wrapText="1"/>
    </xf>
    <xf numFmtId="0" fontId="19" fillId="34" borderId="10" xfId="0" applyFont="1" applyFill="1" applyBorder="1" applyAlignment="1">
      <alignment horizontal="left" vertical="center" wrapText="1"/>
    </xf>
    <xf numFmtId="0" fontId="19" fillId="34" borderId="11" xfId="0" applyFont="1" applyFill="1" applyBorder="1" applyAlignment="1">
      <alignment horizontal="left" vertical="center" wrapText="1"/>
    </xf>
    <xf numFmtId="0" fontId="19" fillId="34" borderId="12" xfId="0" applyFont="1" applyFill="1" applyBorder="1" applyAlignment="1">
      <alignment horizontal="left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9">
    <dxf>
      <numFmt numFmtId="2" formatCode="0.00"/>
    </dxf>
    <dxf>
      <numFmt numFmtId="164" formatCode="_(&quot;$&quot;* #,##0_);_(&quot;$&quot;* \(#,##0\);_(&quot;$&quot;* &quot;-&quot;??_);_(@_)"/>
    </dxf>
    <dxf>
      <numFmt numFmtId="165" formatCode="0.0%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" refreshedDate="46279.589563310183" createdVersion="8" refreshedVersion="8" minRefreshableVersion="3" recordCount="864" xr:uid="{8E6A76A5-4427-43C2-9FC0-157C6AD8D53D}">
  <cacheSource type="worksheet">
    <worksheetSource name="tbl_program_financials"/>
  </cacheSource>
  <cacheFields count="15">
    <cacheField name="program_id" numFmtId="0">
      <sharedItems/>
    </cacheField>
    <cacheField name="program_name" numFmtId="0">
      <sharedItems count="6">
        <s v="Falcon"/>
        <s v="Sentinel"/>
        <s v="Orion"/>
        <s v="Atlas"/>
        <s v="Vanguard"/>
        <s v="Horizon"/>
      </sharedItems>
    </cacheField>
    <cacheField name="customer_type" numFmtId="0">
      <sharedItems/>
    </cacheField>
    <cacheField name="program_type" numFmtId="0">
      <sharedItems/>
    </cacheField>
    <cacheField name="program_manager" numFmtId="0">
      <sharedItems/>
    </cacheField>
    <cacheField name="reporting_month" numFmtId="14">
      <sharedItems containsSemiMixedTypes="0" containsNonDate="0" containsDate="1" containsString="0" minDate="2024-01-01T00:00:00" maxDate="2025-12-02T00:00:00" count="24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</cacheField>
    <cacheField name="cost_category" numFmtId="0">
      <sharedItems count="6">
        <s v="Labor"/>
        <s v="Materials"/>
        <s v="Subcontracts"/>
        <s v="Overhead"/>
        <s v="Travel"/>
        <s v="Other Direct Costs"/>
      </sharedItems>
    </cacheField>
    <cacheField name="budget_cost" numFmtId="164">
      <sharedItems containsSemiMixedTypes="0" containsString="0" containsNumber="1" minValue="33219.370000000003" maxValue="642703.79"/>
    </cacheField>
    <cacheField name="actual_cost" numFmtId="164">
      <sharedItems containsSemiMixedTypes="0" containsString="0" containsNumber="1" minValue="33771.32" maxValue="656750.36"/>
    </cacheField>
    <cacheField name="earned_value" numFmtId="164">
      <sharedItems containsSemiMixedTypes="0" containsString="0" containsNumber="1" minValue="31006.19" maxValue="637974.71"/>
    </cacheField>
    <cacheField name="forecast_cost" numFmtId="164">
      <sharedItems containsSemiMixedTypes="0" containsString="0" containsNumber="1" minValue="34417.96" maxValue="660819.42000000004"/>
    </cacheField>
    <cacheField name="budget_variance" numFmtId="164">
      <sharedItems containsSemiMixedTypes="0" containsString="0" containsNumber="1" minValue="-28686.359999999986" maxValue="81812.72000000003"/>
    </cacheField>
    <cacheField name="budget_variance_pct" numFmtId="165">
      <sharedItems containsSemiMixedTypes="0" containsString="0" containsNumber="1" minValue="-8.1261789889153155E-2" maxValue="0.1727005317188359"/>
    </cacheField>
    <cacheField name="cost_variance" numFmtId="164">
      <sharedItems containsSemiMixedTypes="0" containsString="0" containsNumber="1" minValue="-84053.880000000063" maxValue="45128.039999999979"/>
    </cacheField>
    <cacheField name="cpi" numFmtId="2">
      <sharedItems containsSemiMixedTypes="0" containsString="0" containsNumber="1" minValue="0.84346435853503487" maxValue="1.14410991771104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4">
  <r>
    <s v="AP-101"/>
    <x v="0"/>
    <s v="DoD"/>
    <s v="Aircraft"/>
    <s v="Sarah Chen"/>
    <x v="0"/>
    <x v="0"/>
    <n v="505854.82"/>
    <n v="510165.41"/>
    <n v="510925.25"/>
    <n v="511260.44"/>
    <n v="4310.5899999999674"/>
    <n v="8.521397502943567E-3"/>
    <n v="759.84000000002561"/>
    <n v="1.0014893992911045"/>
  </r>
  <r>
    <s v="AP-101"/>
    <x v="0"/>
    <s v="DoD"/>
    <s v="Aircraft"/>
    <s v="Sarah Chen"/>
    <x v="0"/>
    <x v="1"/>
    <n v="410890.08"/>
    <n v="417855.42"/>
    <n v="416961.97"/>
    <n v="418271.21"/>
    <n v="6965.3399999999674"/>
    <n v="1.6951832957368955E-2"/>
    <n v="-893.45000000001164"/>
    <n v="0.99786182024394943"/>
  </r>
  <r>
    <s v="AP-101"/>
    <x v="0"/>
    <s v="DoD"/>
    <s v="Aircraft"/>
    <s v="Sarah Chen"/>
    <x v="0"/>
    <x v="2"/>
    <n v="323406.43"/>
    <n v="324093.65000000002"/>
    <n v="317411.56"/>
    <n v="326296.40999999997"/>
    <n v="687.22000000003027"/>
    <n v="2.1249422901085495E-3"/>
    <n v="-6682.0900000000256"/>
    <n v="0.9793822248600057"/>
  </r>
  <r>
    <s v="AP-101"/>
    <x v="0"/>
    <s v="DoD"/>
    <s v="Aircraft"/>
    <s v="Sarah Chen"/>
    <x v="0"/>
    <x v="3"/>
    <n v="222380.87"/>
    <n v="225837.17"/>
    <n v="217884.41"/>
    <n v="223467.47"/>
    <n v="3456.3000000000175"/>
    <n v="1.5542254151627419E-2"/>
    <n v="-7952.7600000000093"/>
    <n v="0.96478542482621432"/>
  </r>
  <r>
    <s v="AP-101"/>
    <x v="0"/>
    <s v="DoD"/>
    <s v="Aircraft"/>
    <s v="Sarah Chen"/>
    <x v="0"/>
    <x v="4"/>
    <n v="55834.05"/>
    <n v="54252.57"/>
    <n v="55320.74"/>
    <n v="55545.71"/>
    <n v="-1581.4800000000032"/>
    <n v="-2.8324651355221466E-2"/>
    <n v="1068.1699999999983"/>
    <n v="1.0196888368606316"/>
  </r>
  <r>
    <s v="AP-101"/>
    <x v="0"/>
    <s v="DoD"/>
    <s v="Aircraft"/>
    <s v="Sarah Chen"/>
    <x v="0"/>
    <x v="5"/>
    <n v="84721.4"/>
    <n v="84394.25"/>
    <n v="84535.55"/>
    <n v="85484.36"/>
    <n v="-327.14999999999418"/>
    <n v="-3.8614800982985907E-3"/>
    <n v="141.30000000000291"/>
    <n v="1.001674284681717"/>
  </r>
  <r>
    <s v="AP-101"/>
    <x v="0"/>
    <s v="DoD"/>
    <s v="Aircraft"/>
    <s v="Sarah Chen"/>
    <x v="1"/>
    <x v="0"/>
    <n v="497458.24"/>
    <n v="497706.1"/>
    <n v="492186.46"/>
    <n v="499788.82"/>
    <n v="247.85999999998603"/>
    <n v="4.9825287847274585E-4"/>
    <n v="-5519.6399999999558"/>
    <n v="0.98890984056655129"/>
  </r>
  <r>
    <s v="AP-101"/>
    <x v="0"/>
    <s v="DoD"/>
    <s v="Aircraft"/>
    <s v="Sarah Chen"/>
    <x v="1"/>
    <x v="1"/>
    <n v="417224.61"/>
    <n v="428145.64"/>
    <n v="420001.51"/>
    <n v="422933.18"/>
    <n v="10921.030000000028"/>
    <n v="2.6175421435471E-2"/>
    <n v="-8144.1300000000047"/>
    <n v="0.98097813164697878"/>
  </r>
  <r>
    <s v="AP-101"/>
    <x v="0"/>
    <s v="DoD"/>
    <s v="Aircraft"/>
    <s v="Sarah Chen"/>
    <x v="1"/>
    <x v="2"/>
    <n v="315306.42"/>
    <n v="323662.89"/>
    <n v="308232.40000000002"/>
    <n v="323866.7"/>
    <n v="8356.4700000000303"/>
    <n v="2.6502695378039023E-2"/>
    <n v="-15430.489999999991"/>
    <n v="0.95232542723696256"/>
  </r>
  <r>
    <s v="AP-101"/>
    <x v="0"/>
    <s v="DoD"/>
    <s v="Aircraft"/>
    <s v="Sarah Chen"/>
    <x v="1"/>
    <x v="3"/>
    <n v="239542.09"/>
    <n v="240283.96"/>
    <n v="233770.09"/>
    <n v="239579.57"/>
    <n v="741.86999999999534"/>
    <n v="3.0970340118515096E-3"/>
    <n v="-6513.8699999999953"/>
    <n v="0.97289094952488719"/>
  </r>
  <r>
    <s v="AP-101"/>
    <x v="0"/>
    <s v="DoD"/>
    <s v="Aircraft"/>
    <s v="Sarah Chen"/>
    <x v="1"/>
    <x v="4"/>
    <n v="54895.05"/>
    <n v="56272.67"/>
    <n v="54400.57"/>
    <n v="55559.91"/>
    <n v="1377.6199999999953"/>
    <n v="2.5095523184695073E-2"/>
    <n v="-1872.0999999999985"/>
    <n v="0.96673163011458318"/>
  </r>
  <r>
    <s v="AP-101"/>
    <x v="0"/>
    <s v="DoD"/>
    <s v="Aircraft"/>
    <s v="Sarah Chen"/>
    <x v="1"/>
    <x v="5"/>
    <n v="85923.92"/>
    <n v="83667.240000000005"/>
    <n v="83509.38"/>
    <n v="83455.33"/>
    <n v="-2256.679999999993"/>
    <n v="-2.626369932842907E-2"/>
    <n v="-157.86000000000058"/>
    <n v="0.99811324002082535"/>
  </r>
  <r>
    <s v="AP-101"/>
    <x v="0"/>
    <s v="DoD"/>
    <s v="Aircraft"/>
    <s v="Sarah Chen"/>
    <x v="2"/>
    <x v="0"/>
    <n v="514395.86"/>
    <n v="520812.76"/>
    <n v="523075.54"/>
    <n v="512596.9"/>
    <n v="6416.9000000000233"/>
    <n v="1.2474633835505643E-2"/>
    <n v="2262.7799999999697"/>
    <n v="1.0043447092194899"/>
  </r>
  <r>
    <s v="AP-101"/>
    <x v="0"/>
    <s v="DoD"/>
    <s v="Aircraft"/>
    <s v="Sarah Chen"/>
    <x v="2"/>
    <x v="1"/>
    <n v="421824.89"/>
    <n v="430323.84"/>
    <n v="421108.62"/>
    <n v="426907.83"/>
    <n v="8498.9500000000116"/>
    <n v="2.014805243000244E-2"/>
    <n v="-9215.2200000000303"/>
    <n v="0.97858538351024194"/>
  </r>
  <r>
    <s v="AP-101"/>
    <x v="0"/>
    <s v="DoD"/>
    <s v="Aircraft"/>
    <s v="Sarah Chen"/>
    <x v="2"/>
    <x v="2"/>
    <n v="324356.21999999997"/>
    <n v="325160.71999999997"/>
    <n v="329633.02"/>
    <n v="327871.5"/>
    <n v="804.5"/>
    <n v="2.4802977417852511E-3"/>
    <n v="4472.3000000000466"/>
    <n v="1.0137541213465147"/>
  </r>
  <r>
    <s v="AP-101"/>
    <x v="0"/>
    <s v="DoD"/>
    <s v="Aircraft"/>
    <s v="Sarah Chen"/>
    <x v="2"/>
    <x v="3"/>
    <n v="228419.51"/>
    <n v="226332.14"/>
    <n v="230282.18"/>
    <n v="226796.72"/>
    <n v="-2087.3699999999953"/>
    <n v="-9.1383174755956496E-3"/>
    <n v="3950.039999999979"/>
    <n v="1.017452404240953"/>
  </r>
  <r>
    <s v="AP-101"/>
    <x v="0"/>
    <s v="DoD"/>
    <s v="Aircraft"/>
    <s v="Sarah Chen"/>
    <x v="2"/>
    <x v="4"/>
    <n v="57291.57"/>
    <n v="56301.03"/>
    <n v="56998.92"/>
    <n v="57086.98"/>
    <n v="-990.54000000000087"/>
    <n v="-1.7289454626570732E-2"/>
    <n v="697.88999999999942"/>
    <n v="1.0123956879652112"/>
  </r>
  <r>
    <s v="AP-101"/>
    <x v="0"/>
    <s v="DoD"/>
    <s v="Aircraft"/>
    <s v="Sarah Chen"/>
    <x v="2"/>
    <x v="5"/>
    <n v="89609.18"/>
    <n v="92312.21"/>
    <n v="88651.78"/>
    <n v="91973.9"/>
    <n v="2703.0300000000134"/>
    <n v="3.0164655005212787E-2"/>
    <n v="-3660.4300000000076"/>
    <n v="0.96034728233675692"/>
  </r>
  <r>
    <s v="AP-101"/>
    <x v="0"/>
    <s v="DoD"/>
    <s v="Aircraft"/>
    <s v="Sarah Chen"/>
    <x v="3"/>
    <x v="0"/>
    <n v="522975.9"/>
    <n v="514375.3"/>
    <n v="519643.13"/>
    <n v="513202.88"/>
    <n v="-8600.6000000000349"/>
    <n v="-1.6445499687461763E-2"/>
    <n v="5267.8300000000163"/>
    <n v="1.0102412188143559"/>
  </r>
  <r>
    <s v="AP-101"/>
    <x v="0"/>
    <s v="DoD"/>
    <s v="Aircraft"/>
    <s v="Sarah Chen"/>
    <x v="3"/>
    <x v="1"/>
    <n v="410686.58"/>
    <n v="412296.36"/>
    <n v="406669.96"/>
    <n v="413491.31"/>
    <n v="1609.7799999999697"/>
    <n v="3.9197287625029522E-3"/>
    <n v="-5626.3999999999651"/>
    <n v="0.98635350552209589"/>
  </r>
  <r>
    <s v="AP-101"/>
    <x v="0"/>
    <s v="DoD"/>
    <s v="Aircraft"/>
    <s v="Sarah Chen"/>
    <x v="3"/>
    <x v="2"/>
    <n v="325888.64000000001"/>
    <n v="315043.23"/>
    <n v="317340.94"/>
    <n v="315914.07"/>
    <n v="-10845.410000000033"/>
    <n v="-3.3279496947178126E-2"/>
    <n v="2297.710000000021"/>
    <n v="1.0072933165394478"/>
  </r>
  <r>
    <s v="AP-101"/>
    <x v="0"/>
    <s v="DoD"/>
    <s v="Aircraft"/>
    <s v="Sarah Chen"/>
    <x v="3"/>
    <x v="3"/>
    <n v="235828.68"/>
    <n v="229294.68"/>
    <n v="235266.4"/>
    <n v="234773.17"/>
    <n v="-6534"/>
    <n v="-2.7706553757583685E-2"/>
    <n v="5971.7200000000012"/>
    <n v="1.0260438663470082"/>
  </r>
  <r>
    <s v="AP-101"/>
    <x v="0"/>
    <s v="DoD"/>
    <s v="Aircraft"/>
    <s v="Sarah Chen"/>
    <x v="3"/>
    <x v="4"/>
    <n v="57758.86"/>
    <n v="59104.31"/>
    <n v="58170.65"/>
    <n v="59010.05"/>
    <n v="1345.4499999999971"/>
    <n v="2.3294261694223137E-2"/>
    <n v="-933.65999999999622"/>
    <n v="0.98420318247518668"/>
  </r>
  <r>
    <s v="AP-101"/>
    <x v="0"/>
    <s v="DoD"/>
    <s v="Aircraft"/>
    <s v="Sarah Chen"/>
    <x v="3"/>
    <x v="5"/>
    <n v="87110.96"/>
    <n v="84474.43"/>
    <n v="85229.95"/>
    <n v="86481.65"/>
    <n v="-2636.5300000000134"/>
    <n v="-3.0266340768142299E-2"/>
    <n v="755.52000000000407"/>
    <n v="1.0089437715057681"/>
  </r>
  <r>
    <s v="AP-101"/>
    <x v="0"/>
    <s v="DoD"/>
    <s v="Aircraft"/>
    <s v="Sarah Chen"/>
    <x v="4"/>
    <x v="0"/>
    <n v="511103.16"/>
    <n v="503460.05"/>
    <n v="512990.12"/>
    <n v="501109.24"/>
    <n v="-7643.109999999986"/>
    <n v="-1.4954143504023701E-2"/>
    <n v="9530.070000000007"/>
    <n v="1.0189291484001561"/>
  </r>
  <r>
    <s v="AP-101"/>
    <x v="0"/>
    <s v="DoD"/>
    <s v="Aircraft"/>
    <s v="Sarah Chen"/>
    <x v="4"/>
    <x v="1"/>
    <n v="426203.03"/>
    <n v="417234.5"/>
    <n v="427453.16"/>
    <n v="425997.94"/>
    <n v="-8968.5300000000279"/>
    <n v="-2.1042858376675612E-2"/>
    <n v="10218.659999999974"/>
    <n v="1.0244914071103899"/>
  </r>
  <r>
    <s v="AP-101"/>
    <x v="0"/>
    <s v="DoD"/>
    <s v="Aircraft"/>
    <s v="Sarah Chen"/>
    <x v="4"/>
    <x v="2"/>
    <n v="329654.74"/>
    <n v="330396.67"/>
    <n v="336120.86"/>
    <n v="329691.15999999997"/>
    <n v="741.92999999999302"/>
    <n v="2.2506274291702677E-3"/>
    <n v="5724.1900000000023"/>
    <n v="1.0173252048817563"/>
  </r>
  <r>
    <s v="AP-101"/>
    <x v="0"/>
    <s v="DoD"/>
    <s v="Aircraft"/>
    <s v="Sarah Chen"/>
    <x v="4"/>
    <x v="3"/>
    <n v="234956.57"/>
    <n v="229783.92"/>
    <n v="228757.15"/>
    <n v="230925.63"/>
    <n v="-5172.6499999999942"/>
    <n v="-2.201534521890575E-2"/>
    <n v="-1026.7700000000186"/>
    <n v="0.99553158462959457"/>
  </r>
  <r>
    <s v="AP-101"/>
    <x v="0"/>
    <s v="DoD"/>
    <s v="Aircraft"/>
    <s v="Sarah Chen"/>
    <x v="4"/>
    <x v="4"/>
    <n v="57182.78"/>
    <n v="55323.97"/>
    <n v="57177.69"/>
    <n v="56113.36"/>
    <n v="-1858.8099999999977"/>
    <n v="-3.2506464358675768E-2"/>
    <n v="1853.7200000000012"/>
    <n v="1.0335066337430232"/>
  </r>
  <r>
    <s v="AP-101"/>
    <x v="0"/>
    <s v="DoD"/>
    <s v="Aircraft"/>
    <s v="Sarah Chen"/>
    <x v="4"/>
    <x v="5"/>
    <n v="85237.99"/>
    <n v="87553.91"/>
    <n v="83729.62"/>
    <n v="87135.62"/>
    <n v="2315.9199999999983"/>
    <n v="2.7170044718323346E-2"/>
    <n v="-3824.2900000000081"/>
    <n v="0.95632073998751155"/>
  </r>
  <r>
    <s v="AP-101"/>
    <x v="0"/>
    <s v="DoD"/>
    <s v="Aircraft"/>
    <s v="Sarah Chen"/>
    <x v="5"/>
    <x v="0"/>
    <n v="520154.84"/>
    <n v="519136.11"/>
    <n v="516890.56"/>
    <n v="521661.8"/>
    <n v="-1018.7300000000396"/>
    <n v="-1.9585129689460154E-3"/>
    <n v="-2245.5499999999884"/>
    <n v="0.99567444846015429"/>
  </r>
  <r>
    <s v="AP-101"/>
    <x v="0"/>
    <s v="DoD"/>
    <s v="Aircraft"/>
    <s v="Sarah Chen"/>
    <x v="5"/>
    <x v="1"/>
    <n v="431555.51"/>
    <n v="418452.58"/>
    <n v="425703.83"/>
    <n v="429929.25"/>
    <n v="-13102.929999999993"/>
    <n v="-3.036209640794528E-2"/>
    <n v="7251.25"/>
    <n v="1.0173287257543018"/>
  </r>
  <r>
    <s v="AP-101"/>
    <x v="0"/>
    <s v="DoD"/>
    <s v="Aircraft"/>
    <s v="Sarah Chen"/>
    <x v="5"/>
    <x v="2"/>
    <n v="321989.65000000002"/>
    <n v="313447.44"/>
    <n v="330216.90999999997"/>
    <n v="321908.76"/>
    <n v="-8542.210000000021"/>
    <n v="-2.6529455216961231E-2"/>
    <n v="16769.469999999972"/>
    <n v="1.053500101962868"/>
  </r>
  <r>
    <s v="AP-101"/>
    <x v="0"/>
    <s v="DoD"/>
    <s v="Aircraft"/>
    <s v="Sarah Chen"/>
    <x v="5"/>
    <x v="3"/>
    <n v="241495.59"/>
    <n v="245066.44"/>
    <n v="238843.96"/>
    <n v="246724.12"/>
    <n v="3570.8500000000058"/>
    <n v="1.4786398376881359E-2"/>
    <n v="-6222.4800000000105"/>
    <n v="0.97460900807144379"/>
  </r>
  <r>
    <s v="AP-101"/>
    <x v="0"/>
    <s v="DoD"/>
    <s v="Aircraft"/>
    <s v="Sarah Chen"/>
    <x v="5"/>
    <x v="4"/>
    <n v="58841.84"/>
    <n v="58516.03"/>
    <n v="60316"/>
    <n v="58695.81"/>
    <n v="-325.80999999999767"/>
    <n v="-5.5370464281877946E-3"/>
    <n v="1799.9700000000012"/>
    <n v="1.0307602891036867"/>
  </r>
  <r>
    <s v="AP-101"/>
    <x v="0"/>
    <s v="DoD"/>
    <s v="Aircraft"/>
    <s v="Sarah Chen"/>
    <x v="5"/>
    <x v="5"/>
    <n v="89330.08"/>
    <n v="91408.73"/>
    <n v="90894.76"/>
    <n v="89750.37"/>
    <n v="2078.6499999999942"/>
    <n v="2.3269317569177082E-2"/>
    <n v="-513.97000000000116"/>
    <n v="0.99437723289668278"/>
  </r>
  <r>
    <s v="AP-101"/>
    <x v="0"/>
    <s v="DoD"/>
    <s v="Aircraft"/>
    <s v="Sarah Chen"/>
    <x v="6"/>
    <x v="0"/>
    <n v="559388.72"/>
    <n v="560177.17000000004"/>
    <n v="555331.18999999994"/>
    <n v="566508.91"/>
    <n v="788.45000000006985"/>
    <n v="1.4094849821070219E-3"/>
    <n v="-4845.9800000000978"/>
    <n v="0.99134920118219005"/>
  </r>
  <r>
    <s v="AP-101"/>
    <x v="0"/>
    <s v="DoD"/>
    <s v="Aircraft"/>
    <s v="Sarah Chen"/>
    <x v="6"/>
    <x v="1"/>
    <n v="411616.84"/>
    <n v="402823.97"/>
    <n v="421680.29"/>
    <n v="411669.31"/>
    <n v="-8792.8700000000536"/>
    <n v="-2.1361783934787635E-2"/>
    <n v="18856.320000000007"/>
    <n v="1.0468103226329852"/>
  </r>
  <r>
    <s v="AP-101"/>
    <x v="0"/>
    <s v="DoD"/>
    <s v="Aircraft"/>
    <s v="Sarah Chen"/>
    <x v="6"/>
    <x v="2"/>
    <n v="346149.09"/>
    <n v="337261.28"/>
    <n v="336526.16"/>
    <n v="345721.21"/>
    <n v="-8887.8099999999977"/>
    <n v="-2.5676248347207838E-2"/>
    <n v="-735.12000000005355"/>
    <n v="0.99782032494213369"/>
  </r>
  <r>
    <s v="AP-101"/>
    <x v="0"/>
    <s v="DoD"/>
    <s v="Aircraft"/>
    <s v="Sarah Chen"/>
    <x v="6"/>
    <x v="3"/>
    <n v="251219.81"/>
    <n v="252641.8"/>
    <n v="251533.08"/>
    <n v="253665.37"/>
    <n v="1421.9899999999907"/>
    <n v="5.6603418337112452E-3"/>
    <n v="-1108.7200000000012"/>
    <n v="0.99561149421829642"/>
  </r>
  <r>
    <s v="AP-101"/>
    <x v="0"/>
    <s v="DoD"/>
    <s v="Aircraft"/>
    <s v="Sarah Chen"/>
    <x v="6"/>
    <x v="4"/>
    <n v="57649.01"/>
    <n v="57566.71"/>
    <n v="56720.65"/>
    <n v="57278.23"/>
    <n v="-82.30000000000291"/>
    <n v="-1.42760474117427E-3"/>
    <n v="-846.05999999999767"/>
    <n v="0.98530296416105767"/>
  </r>
  <r>
    <s v="AP-101"/>
    <x v="0"/>
    <s v="DoD"/>
    <s v="Aircraft"/>
    <s v="Sarah Chen"/>
    <x v="6"/>
    <x v="5"/>
    <n v="88532.49"/>
    <n v="88318.64"/>
    <n v="88186.08"/>
    <n v="88008.320000000007"/>
    <n v="-213.85000000000582"/>
    <n v="-2.4154974066583445E-3"/>
    <n v="-132.55999999999767"/>
    <n v="0.99849907109076863"/>
  </r>
  <r>
    <s v="AP-101"/>
    <x v="0"/>
    <s v="DoD"/>
    <s v="Aircraft"/>
    <s v="Sarah Chen"/>
    <x v="7"/>
    <x v="0"/>
    <n v="523100.62"/>
    <n v="520954.31"/>
    <n v="519103.98"/>
    <n v="528867.1"/>
    <n v="-2146.3099999999977"/>
    <n v="-4.1030538254762487E-3"/>
    <n v="-1850.3300000000163"/>
    <n v="0.99644819139705354"/>
  </r>
  <r>
    <s v="AP-101"/>
    <x v="0"/>
    <s v="DoD"/>
    <s v="Aircraft"/>
    <s v="Sarah Chen"/>
    <x v="7"/>
    <x v="1"/>
    <n v="418447.48"/>
    <n v="416893.1"/>
    <n v="415038.37"/>
    <n v="414772.17"/>
    <n v="-1554.3800000000047"/>
    <n v="-3.7146358247873894E-3"/>
    <n v="-1854.7299999999814"/>
    <n v="0.99555106572884033"/>
  </r>
  <r>
    <s v="AP-101"/>
    <x v="0"/>
    <s v="DoD"/>
    <s v="Aircraft"/>
    <s v="Sarah Chen"/>
    <x v="7"/>
    <x v="2"/>
    <n v="327620.28999999998"/>
    <n v="327411.44"/>
    <n v="319555.43"/>
    <n v="331054.58"/>
    <n v="-208.84999999997672"/>
    <n v="-6.3747578026982616E-4"/>
    <n v="-7856.0100000000093"/>
    <n v="0.97600569485293487"/>
  </r>
  <r>
    <s v="AP-101"/>
    <x v="0"/>
    <s v="DoD"/>
    <s v="Aircraft"/>
    <s v="Sarah Chen"/>
    <x v="7"/>
    <x v="3"/>
    <n v="255203.57"/>
    <n v="250375.57"/>
    <n v="253471.01"/>
    <n v="254911.46"/>
    <n v="-4828"/>
    <n v="-1.8918230650143333E-2"/>
    <n v="3095.4400000000023"/>
    <n v="1.0123631870313865"/>
  </r>
  <r>
    <s v="AP-101"/>
    <x v="0"/>
    <s v="DoD"/>
    <s v="Aircraft"/>
    <s v="Sarah Chen"/>
    <x v="7"/>
    <x v="4"/>
    <n v="57569.760000000002"/>
    <n v="57434.02"/>
    <n v="56278.41"/>
    <n v="58360.41"/>
    <n v="-135.74000000000524"/>
    <n v="-2.3578350856422754E-3"/>
    <n v="-1155.6099999999933"/>
    <n v="0.97987934677043342"/>
  </r>
  <r>
    <s v="AP-101"/>
    <x v="0"/>
    <s v="DoD"/>
    <s v="Aircraft"/>
    <s v="Sarah Chen"/>
    <x v="7"/>
    <x v="5"/>
    <n v="94021.06"/>
    <n v="93609.14"/>
    <n v="93736.4"/>
    <n v="95319.99"/>
    <n v="-411.91999999999825"/>
    <n v="-4.3811460964171033E-3"/>
    <n v="127.25999999999476"/>
    <n v="1.0013594826317174"/>
  </r>
  <r>
    <s v="AP-101"/>
    <x v="0"/>
    <s v="DoD"/>
    <s v="Aircraft"/>
    <s v="Sarah Chen"/>
    <x v="8"/>
    <x v="0"/>
    <n v="555166.68999999994"/>
    <n v="552090.69999999995"/>
    <n v="546056.05000000005"/>
    <n v="562068.18000000005"/>
    <n v="-3075.9899999999907"/>
    <n v="-5.540660229452871E-3"/>
    <n v="-6034.6499999999069"/>
    <n v="0.98906945905808608"/>
  </r>
  <r>
    <s v="AP-101"/>
    <x v="0"/>
    <s v="DoD"/>
    <s v="Aircraft"/>
    <s v="Sarah Chen"/>
    <x v="8"/>
    <x v="1"/>
    <n v="442161.22"/>
    <n v="437140.08"/>
    <n v="446544.05"/>
    <n v="445873.7"/>
    <n v="-5021.1399999999558"/>
    <n v="-1.1355903170341252E-2"/>
    <n v="9403.9699999999721"/>
    <n v="1.0215124863407627"/>
  </r>
  <r>
    <s v="AP-101"/>
    <x v="0"/>
    <s v="DoD"/>
    <s v="Aircraft"/>
    <s v="Sarah Chen"/>
    <x v="8"/>
    <x v="2"/>
    <n v="347168.22"/>
    <n v="340255.97"/>
    <n v="355124.99"/>
    <n v="345792.35"/>
    <n v="-6912.25"/>
    <n v="-1.9910376589193562E-2"/>
    <n v="14869.020000000019"/>
    <n v="1.0436995124582238"/>
  </r>
  <r>
    <s v="AP-101"/>
    <x v="0"/>
    <s v="DoD"/>
    <s v="Aircraft"/>
    <s v="Sarah Chen"/>
    <x v="8"/>
    <x v="3"/>
    <n v="252023.97"/>
    <n v="249234.32"/>
    <n v="245502.34"/>
    <n v="249058.81"/>
    <n v="-2789.6499999999942"/>
    <n v="-1.1068986811056085E-2"/>
    <n v="-3731.9800000000105"/>
    <n v="0.98502621950299618"/>
  </r>
  <r>
    <s v="AP-101"/>
    <x v="0"/>
    <s v="DoD"/>
    <s v="Aircraft"/>
    <s v="Sarah Chen"/>
    <x v="8"/>
    <x v="4"/>
    <n v="59116.46"/>
    <n v="57109"/>
    <n v="60788.76"/>
    <n v="57869.91"/>
    <n v="-2007.4599999999991"/>
    <n v="-3.3957716683306126E-2"/>
    <n v="3679.760000000002"/>
    <n v="1.0644339771314504"/>
  </r>
  <r>
    <s v="AP-101"/>
    <x v="0"/>
    <s v="DoD"/>
    <s v="Aircraft"/>
    <s v="Sarah Chen"/>
    <x v="8"/>
    <x v="5"/>
    <n v="94941.9"/>
    <n v="97298.54"/>
    <n v="93825.27"/>
    <n v="96454.96"/>
    <n v="2356.6399999999994"/>
    <n v="2.4821917404222998E-2"/>
    <n v="-3473.2699999999895"/>
    <n v="0.96430295870832194"/>
  </r>
  <r>
    <s v="AP-101"/>
    <x v="0"/>
    <s v="DoD"/>
    <s v="Aircraft"/>
    <s v="Sarah Chen"/>
    <x v="9"/>
    <x v="0"/>
    <n v="537089.14"/>
    <n v="549417.59"/>
    <n v="545851.88"/>
    <n v="544108.36"/>
    <n v="12328.449999999953"/>
    <n v="2.2954197137555143E-2"/>
    <n v="-3565.7099999999627"/>
    <n v="0.99351001849067122"/>
  </r>
  <r>
    <s v="AP-101"/>
    <x v="0"/>
    <s v="DoD"/>
    <s v="Aircraft"/>
    <s v="Sarah Chen"/>
    <x v="9"/>
    <x v="1"/>
    <n v="424553.65"/>
    <n v="434834.86"/>
    <n v="424811.36"/>
    <n v="426744.51"/>
    <n v="10281.209999999963"/>
    <n v="2.4216515392106421E-2"/>
    <n v="-10023.5"/>
    <n v="0.97694872025669699"/>
  </r>
  <r>
    <s v="AP-101"/>
    <x v="0"/>
    <s v="DoD"/>
    <s v="Aircraft"/>
    <s v="Sarah Chen"/>
    <x v="9"/>
    <x v="2"/>
    <n v="355108.36"/>
    <n v="348800.59"/>
    <n v="344647.85"/>
    <n v="348909.63"/>
    <n v="-6307.7699999999604"/>
    <n v="-1.7762944246088604E-2"/>
    <n v="-4152.7400000000489"/>
    <n v="0.98809422885437193"/>
  </r>
  <r>
    <s v="AP-101"/>
    <x v="0"/>
    <s v="DoD"/>
    <s v="Aircraft"/>
    <s v="Sarah Chen"/>
    <x v="9"/>
    <x v="3"/>
    <n v="258241.88"/>
    <n v="266087.89"/>
    <n v="250940.82"/>
    <n v="264949.21999999997"/>
    <n v="7846.0100000000093"/>
    <n v="3.0382407377145836E-2"/>
    <n v="-15147.070000000007"/>
    <n v="0.94307493663090036"/>
  </r>
  <r>
    <s v="AP-101"/>
    <x v="0"/>
    <s v="DoD"/>
    <s v="Aircraft"/>
    <s v="Sarah Chen"/>
    <x v="9"/>
    <x v="4"/>
    <n v="59930.9"/>
    <n v="61846.04"/>
    <n v="61029.37"/>
    <n v="60878.8"/>
    <n v="1915.1399999999994"/>
    <n v="3.1955802432468046E-2"/>
    <n v="-816.66999999999825"/>
    <n v="0.98679511250841612"/>
  </r>
  <r>
    <s v="AP-101"/>
    <x v="0"/>
    <s v="DoD"/>
    <s v="Aircraft"/>
    <s v="Sarah Chen"/>
    <x v="9"/>
    <x v="5"/>
    <n v="95161.94"/>
    <n v="96512.35"/>
    <n v="95151.78"/>
    <n v="96208.22"/>
    <n v="1350.4100000000035"/>
    <n v="1.4190652271275717E-2"/>
    <n v="-1360.570000000007"/>
    <n v="0.98590263318632276"/>
  </r>
  <r>
    <s v="AP-101"/>
    <x v="0"/>
    <s v="DoD"/>
    <s v="Aircraft"/>
    <s v="Sarah Chen"/>
    <x v="10"/>
    <x v="0"/>
    <n v="562052.06000000006"/>
    <n v="558621.54"/>
    <n v="564778.72"/>
    <n v="562707.27"/>
    <n v="-3430.5200000000186"/>
    <n v="-6.1035627197950637E-3"/>
    <n v="6157.1799999999348"/>
    <n v="1.0110220955676001"/>
  </r>
  <r>
    <s v="AP-101"/>
    <x v="0"/>
    <s v="DoD"/>
    <s v="Aircraft"/>
    <s v="Sarah Chen"/>
    <x v="10"/>
    <x v="1"/>
    <n v="425276.98"/>
    <n v="411582.33"/>
    <n v="413153.7"/>
    <n v="418677.56"/>
    <n v="-13694.649999999965"/>
    <n v="-3.2201719453519365E-2"/>
    <n v="1571.3699999999953"/>
    <n v="1.003817875271759"/>
  </r>
  <r>
    <s v="AP-101"/>
    <x v="0"/>
    <s v="DoD"/>
    <s v="Aircraft"/>
    <s v="Sarah Chen"/>
    <x v="10"/>
    <x v="2"/>
    <n v="333564.59999999998"/>
    <n v="344000.08"/>
    <n v="329431.42"/>
    <n v="344671.06"/>
    <n v="10435.48000000004"/>
    <n v="3.128473465109919E-2"/>
    <n v="-14568.660000000033"/>
    <n v="0.95764925403505707"/>
  </r>
  <r>
    <s v="AP-101"/>
    <x v="0"/>
    <s v="DoD"/>
    <s v="Aircraft"/>
    <s v="Sarah Chen"/>
    <x v="10"/>
    <x v="3"/>
    <n v="261792.25"/>
    <n v="265816.57"/>
    <n v="267079.61"/>
    <n v="267897.05"/>
    <n v="4024.320000000007"/>
    <n v="1.5372189207281756E-2"/>
    <n v="1263.039999999979"/>
    <n v="1.0047515472793889"/>
  </r>
  <r>
    <s v="AP-101"/>
    <x v="0"/>
    <s v="DoD"/>
    <s v="Aircraft"/>
    <s v="Sarah Chen"/>
    <x v="10"/>
    <x v="4"/>
    <n v="58896.08"/>
    <n v="57526.720000000001"/>
    <n v="57145.65"/>
    <n v="57829.93"/>
    <n v="-1369.3600000000006"/>
    <n v="-2.3250443832594642E-2"/>
    <n v="-381.06999999999971"/>
    <n v="0.99337577390124099"/>
  </r>
  <r>
    <s v="AP-101"/>
    <x v="0"/>
    <s v="DoD"/>
    <s v="Aircraft"/>
    <s v="Sarah Chen"/>
    <x v="10"/>
    <x v="5"/>
    <n v="94210.559999999998"/>
    <n v="93984.56"/>
    <n v="91476.06"/>
    <n v="94120.01"/>
    <n v="-226"/>
    <n v="-2.3988818238634821E-3"/>
    <n v="-2508.5"/>
    <n v="0.97330944572172284"/>
  </r>
  <r>
    <s v="AP-101"/>
    <x v="0"/>
    <s v="DoD"/>
    <s v="Aircraft"/>
    <s v="Sarah Chen"/>
    <x v="11"/>
    <x v="0"/>
    <n v="554636.62"/>
    <n v="561463.56999999995"/>
    <n v="570835.25"/>
    <n v="557137.9"/>
    <n v="6826.9499999999534"/>
    <n v="1.2308869904767475E-2"/>
    <n v="9371.6800000000512"/>
    <n v="1.0166915192734589"/>
  </r>
  <r>
    <s v="AP-101"/>
    <x v="0"/>
    <s v="DoD"/>
    <s v="Aircraft"/>
    <s v="Sarah Chen"/>
    <x v="11"/>
    <x v="1"/>
    <n v="456922.56"/>
    <n v="471107.35"/>
    <n v="461562.71"/>
    <n v="461749.42"/>
    <n v="14184.789999999979"/>
    <n v="3.1044188319351049E-2"/>
    <n v="-9544.6399999999558"/>
    <n v="0.97973998919779126"/>
  </r>
  <r>
    <s v="AP-101"/>
    <x v="0"/>
    <s v="DoD"/>
    <s v="Aircraft"/>
    <s v="Sarah Chen"/>
    <x v="11"/>
    <x v="2"/>
    <n v="345650.74"/>
    <n v="345117.49"/>
    <n v="355736.1"/>
    <n v="348994.54"/>
    <n v="-533.25"/>
    <n v="-1.5427422490112419E-3"/>
    <n v="10618.609999999986"/>
    <n v="1.0307681016108456"/>
  </r>
  <r>
    <s v="AP-101"/>
    <x v="0"/>
    <s v="DoD"/>
    <s v="Aircraft"/>
    <s v="Sarah Chen"/>
    <x v="11"/>
    <x v="3"/>
    <n v="256724.91"/>
    <n v="255327.71"/>
    <n v="255112.42"/>
    <n v="257520.15"/>
    <n v="-1397.2000000000116"/>
    <n v="-5.4424013626103197E-3"/>
    <n v="-215.28999999997905"/>
    <n v="0.99915680910622673"/>
  </r>
  <r>
    <s v="AP-101"/>
    <x v="0"/>
    <s v="DoD"/>
    <s v="Aircraft"/>
    <s v="Sarah Chen"/>
    <x v="11"/>
    <x v="4"/>
    <n v="62620.91"/>
    <n v="64701.36"/>
    <n v="61516.74"/>
    <n v="63346.69"/>
    <n v="2080.4499999999971"/>
    <n v="3.3222928251920913E-2"/>
    <n v="-3184.6200000000026"/>
    <n v="0.95077970540341039"/>
  </r>
  <r>
    <s v="AP-101"/>
    <x v="0"/>
    <s v="DoD"/>
    <s v="Aircraft"/>
    <s v="Sarah Chen"/>
    <x v="11"/>
    <x v="5"/>
    <n v="93596.97"/>
    <n v="90345.17"/>
    <n v="94186.37"/>
    <n v="92964.99"/>
    <n v="-3251.8000000000029"/>
    <n v="-3.4742577671050705E-2"/>
    <n v="3841.1999999999971"/>
    <n v="1.0425169380942003"/>
  </r>
  <r>
    <s v="AP-101"/>
    <x v="0"/>
    <s v="DoD"/>
    <s v="Aircraft"/>
    <s v="Sarah Chen"/>
    <x v="12"/>
    <x v="0"/>
    <n v="525024.01"/>
    <n v="524418.84"/>
    <n v="539171.92000000004"/>
    <n v="518599.46"/>
    <n v="-605.17000000004191"/>
    <n v="-1.152652047284546E-3"/>
    <n v="14753.080000000075"/>
    <n v="1.0281322463548412"/>
  </r>
  <r>
    <s v="AP-101"/>
    <x v="0"/>
    <s v="DoD"/>
    <s v="Aircraft"/>
    <s v="Sarah Chen"/>
    <x v="12"/>
    <x v="1"/>
    <n v="427920.16"/>
    <n v="421359.52"/>
    <n v="417268.53"/>
    <n v="430651.04"/>
    <n v="-6560.6399999999558"/>
    <n v="-1.5331458092556229E-2"/>
    <n v="-4090.9899999999907"/>
    <n v="0.99029097526976495"/>
  </r>
  <r>
    <s v="AP-101"/>
    <x v="0"/>
    <s v="DoD"/>
    <s v="Aircraft"/>
    <s v="Sarah Chen"/>
    <x v="12"/>
    <x v="2"/>
    <n v="318166.36"/>
    <n v="310211.42"/>
    <n v="310004.67"/>
    <n v="310004"/>
    <n v="-7954.9400000000023"/>
    <n v="-2.5002454690684468E-2"/>
    <n v="-206.75"/>
    <n v="0.99933351905613277"/>
  </r>
  <r>
    <s v="AP-101"/>
    <x v="0"/>
    <s v="DoD"/>
    <s v="Aircraft"/>
    <s v="Sarah Chen"/>
    <x v="12"/>
    <x v="3"/>
    <n v="244368.41"/>
    <n v="251106.4"/>
    <n v="241341.96"/>
    <n v="246410.19"/>
    <n v="6737.9899999999907"/>
    <n v="2.7573081152346943E-2"/>
    <n v="-9764.4400000000023"/>
    <n v="0.96111433241048416"/>
  </r>
  <r>
    <s v="AP-101"/>
    <x v="0"/>
    <s v="DoD"/>
    <s v="Aircraft"/>
    <s v="Sarah Chen"/>
    <x v="12"/>
    <x v="4"/>
    <n v="56834.63"/>
    <n v="58009.33"/>
    <n v="56199.79"/>
    <n v="57270.21"/>
    <n v="1174.7000000000044"/>
    <n v="2.0668736648765101E-2"/>
    <n v="-1809.5400000000009"/>
    <n v="0.96880605240570783"/>
  </r>
  <r>
    <s v="AP-101"/>
    <x v="0"/>
    <s v="DoD"/>
    <s v="Aircraft"/>
    <s v="Sarah Chen"/>
    <x v="12"/>
    <x v="5"/>
    <n v="87587.19"/>
    <n v="88127.11"/>
    <n v="86907.51"/>
    <n v="87716.56"/>
    <n v="539.91999999999825"/>
    <n v="6.1643717534493143E-3"/>
    <n v="-1219.6000000000058"/>
    <n v="0.98616089872911972"/>
  </r>
  <r>
    <s v="AP-101"/>
    <x v="0"/>
    <s v="DoD"/>
    <s v="Aircraft"/>
    <s v="Sarah Chen"/>
    <x v="13"/>
    <x v="0"/>
    <n v="540976.44999999995"/>
    <n v="539386.9"/>
    <n v="547734.56000000006"/>
    <n v="534299.28"/>
    <n v="-1589.5499999999302"/>
    <n v="-2.938297961029413E-3"/>
    <n v="8347.6600000000326"/>
    <n v="1.0154762008495202"/>
  </r>
  <r>
    <s v="AP-101"/>
    <x v="0"/>
    <s v="DoD"/>
    <s v="Aircraft"/>
    <s v="Sarah Chen"/>
    <x v="13"/>
    <x v="1"/>
    <n v="436083.8"/>
    <n v="428932.47"/>
    <n v="445937.03"/>
    <n v="432316.77"/>
    <n v="-7151.3300000000163"/>
    <n v="-1.6398981113263131E-2"/>
    <n v="17004.560000000056"/>
    <n v="1.0396439094480305"/>
  </r>
  <r>
    <s v="AP-101"/>
    <x v="0"/>
    <s v="DoD"/>
    <s v="Aircraft"/>
    <s v="Sarah Chen"/>
    <x v="13"/>
    <x v="2"/>
    <n v="322065.90999999997"/>
    <n v="323867.57"/>
    <n v="317414.69"/>
    <n v="321109.44"/>
    <n v="1801.6600000000326"/>
    <n v="5.5940723437635257E-3"/>
    <n v="-6452.8800000000047"/>
    <n v="0.98007555989628725"/>
  </r>
  <r>
    <s v="AP-101"/>
    <x v="0"/>
    <s v="DoD"/>
    <s v="Aircraft"/>
    <s v="Sarah Chen"/>
    <x v="13"/>
    <x v="3"/>
    <n v="234582.26"/>
    <n v="241817.97"/>
    <n v="236441.18"/>
    <n v="242526.63"/>
    <n v="7235.7099999999919"/>
    <n v="3.0845086069168196E-2"/>
    <n v="-5376.7900000000081"/>
    <n v="0.97776513465893367"/>
  </r>
  <r>
    <s v="AP-101"/>
    <x v="0"/>
    <s v="DoD"/>
    <s v="Aircraft"/>
    <s v="Sarah Chen"/>
    <x v="13"/>
    <x v="4"/>
    <n v="56103.54"/>
    <n v="54432.49"/>
    <n v="55874.11"/>
    <n v="54648.34"/>
    <n v="-1671.0500000000029"/>
    <n v="-2.9785108034181138E-2"/>
    <n v="1441.6200000000026"/>
    <n v="1.026484549944344"/>
  </r>
  <r>
    <s v="AP-101"/>
    <x v="0"/>
    <s v="DoD"/>
    <s v="Aircraft"/>
    <s v="Sarah Chen"/>
    <x v="13"/>
    <x v="5"/>
    <n v="92182.95"/>
    <n v="91655.98"/>
    <n v="93714.1"/>
    <n v="92759.11"/>
    <n v="-526.97000000000116"/>
    <n v="-5.7165668922506945E-3"/>
    <n v="2058.1200000000099"/>
    <n v="1.022454836007427"/>
  </r>
  <r>
    <s v="AP-101"/>
    <x v="0"/>
    <s v="DoD"/>
    <s v="Aircraft"/>
    <s v="Sarah Chen"/>
    <x v="14"/>
    <x v="0"/>
    <n v="541634.81000000006"/>
    <n v="547664.18999999994"/>
    <n v="551922.49"/>
    <n v="553069.6"/>
    <n v="6029.3799999998882"/>
    <n v="1.1131817764814429E-2"/>
    <n v="4258.3000000000466"/>
    <n v="1.0077753851315348"/>
  </r>
  <r>
    <s v="AP-101"/>
    <x v="0"/>
    <s v="DoD"/>
    <s v="Aircraft"/>
    <s v="Sarah Chen"/>
    <x v="14"/>
    <x v="1"/>
    <n v="414974.38"/>
    <n v="412531.64"/>
    <n v="404414.59"/>
    <n v="420842.37"/>
    <n v="-2442.7399999999907"/>
    <n v="-5.8864838836556388E-3"/>
    <n v="-8117.0499999999884"/>
    <n v="0.98032381225352805"/>
  </r>
  <r>
    <s v="AP-101"/>
    <x v="0"/>
    <s v="DoD"/>
    <s v="Aircraft"/>
    <s v="Sarah Chen"/>
    <x v="14"/>
    <x v="2"/>
    <n v="349103.41"/>
    <n v="342729.88"/>
    <n v="353519.96"/>
    <n v="344151.17"/>
    <n v="-6373.5299999999697"/>
    <n v="-1.8256854036458624E-2"/>
    <n v="10790.080000000016"/>
    <n v="1.031482752539697"/>
  </r>
  <r>
    <s v="AP-101"/>
    <x v="0"/>
    <s v="DoD"/>
    <s v="Aircraft"/>
    <s v="Sarah Chen"/>
    <x v="14"/>
    <x v="3"/>
    <n v="249726.78"/>
    <n v="252934.68"/>
    <n v="252705.28"/>
    <n v="253076.02"/>
    <n v="3207.8999999999942"/>
    <n v="1.2845638741667971E-2"/>
    <n v="-229.39999999999418"/>
    <n v="0.99909304647350061"/>
  </r>
  <r>
    <s v="AP-101"/>
    <x v="0"/>
    <s v="DoD"/>
    <s v="Aircraft"/>
    <s v="Sarah Chen"/>
    <x v="14"/>
    <x v="4"/>
    <n v="57070.74"/>
    <n v="55498.94"/>
    <n v="57322.080000000002"/>
    <n v="56467.73"/>
    <n v="-1571.7999999999956"/>
    <n v="-2.7541258445220717E-2"/>
    <n v="1823.1399999999994"/>
    <n v="1.0328499967747131"/>
  </r>
  <r>
    <s v="AP-101"/>
    <x v="0"/>
    <s v="DoD"/>
    <s v="Aircraft"/>
    <s v="Sarah Chen"/>
    <x v="14"/>
    <x v="5"/>
    <n v="89070.33"/>
    <n v="90697.55"/>
    <n v="90541.52"/>
    <n v="90959.5"/>
    <n v="1627.2200000000012"/>
    <n v="1.8268934223102138E-2"/>
    <n v="-156.02999999999884"/>
    <n v="0.99827966687082503"/>
  </r>
  <r>
    <s v="AP-101"/>
    <x v="0"/>
    <s v="DoD"/>
    <s v="Aircraft"/>
    <s v="Sarah Chen"/>
    <x v="15"/>
    <x v="0"/>
    <n v="536079.13"/>
    <n v="543774.75"/>
    <n v="537072.78"/>
    <n v="539159.21"/>
    <n v="7695.6199999999953"/>
    <n v="1.4355380706575903E-2"/>
    <n v="-6701.9699999999721"/>
    <n v="0.98767509892653171"/>
  </r>
  <r>
    <s v="AP-101"/>
    <x v="0"/>
    <s v="DoD"/>
    <s v="Aircraft"/>
    <s v="Sarah Chen"/>
    <x v="15"/>
    <x v="1"/>
    <n v="443775.09"/>
    <n v="455736.18"/>
    <n v="445963.5"/>
    <n v="453012.87"/>
    <n v="11961.089999999967"/>
    <n v="2.6953045066139172E-2"/>
    <n v="-9772.679999999993"/>
    <n v="0.97855627788866795"/>
  </r>
  <r>
    <s v="AP-101"/>
    <x v="0"/>
    <s v="DoD"/>
    <s v="Aircraft"/>
    <s v="Sarah Chen"/>
    <x v="15"/>
    <x v="2"/>
    <n v="352404.59"/>
    <n v="341392.01"/>
    <n v="342172.76"/>
    <n v="341138.72"/>
    <n v="-11012.580000000016"/>
    <n v="-3.1249819986737447E-2"/>
    <n v="780.75"/>
    <n v="1.0022869603773095"/>
  </r>
  <r>
    <s v="AP-101"/>
    <x v="0"/>
    <s v="DoD"/>
    <s v="Aircraft"/>
    <s v="Sarah Chen"/>
    <x v="15"/>
    <x v="3"/>
    <n v="243780.93"/>
    <n v="237654.32"/>
    <n v="238305.66"/>
    <n v="239133.1"/>
    <n v="-6126.609999999986"/>
    <n v="-2.5131621246994119E-2"/>
    <n v="651.33999999999651"/>
    <n v="1.0027407033880134"/>
  </r>
  <r>
    <s v="AP-101"/>
    <x v="0"/>
    <s v="DoD"/>
    <s v="Aircraft"/>
    <s v="Sarah Chen"/>
    <x v="15"/>
    <x v="4"/>
    <n v="58865.88"/>
    <n v="60894.400000000001"/>
    <n v="59753"/>
    <n v="59527.58"/>
    <n v="2028.5200000000041"/>
    <n v="3.4460030156688463E-2"/>
    <n v="-1141.4000000000015"/>
    <n v="0.98125607609238286"/>
  </r>
  <r>
    <s v="AP-101"/>
    <x v="0"/>
    <s v="DoD"/>
    <s v="Aircraft"/>
    <s v="Sarah Chen"/>
    <x v="15"/>
    <x v="5"/>
    <n v="92613.74"/>
    <n v="95383.86"/>
    <n v="93407.69"/>
    <n v="95331.31"/>
    <n v="2770.1199999999953"/>
    <n v="2.9910464689148663E-2"/>
    <n v="-1976.1699999999983"/>
    <n v="0.97928192463588704"/>
  </r>
  <r>
    <s v="AP-101"/>
    <x v="0"/>
    <s v="DoD"/>
    <s v="Aircraft"/>
    <s v="Sarah Chen"/>
    <x v="16"/>
    <x v="0"/>
    <n v="544526.98"/>
    <n v="529689.99"/>
    <n v="540837.26"/>
    <n v="531518.99"/>
    <n v="-14836.989999999991"/>
    <n v="-2.7247483678402844E-2"/>
    <n v="11147.270000000019"/>
    <n v="1.0210448945806962"/>
  </r>
  <r>
    <s v="AP-101"/>
    <x v="0"/>
    <s v="DoD"/>
    <s v="Aircraft"/>
    <s v="Sarah Chen"/>
    <x v="16"/>
    <x v="1"/>
    <n v="445161.96"/>
    <n v="440475.01"/>
    <n v="449318.2"/>
    <n v="444299.81"/>
    <n v="-4686.9500000000116"/>
    <n v="-1.0528639958364842E-2"/>
    <n v="8843.1900000000023"/>
    <n v="1.0200764851563315"/>
  </r>
  <r>
    <s v="AP-101"/>
    <x v="0"/>
    <s v="DoD"/>
    <s v="Aircraft"/>
    <s v="Sarah Chen"/>
    <x v="16"/>
    <x v="2"/>
    <n v="343445.58"/>
    <n v="353032.97"/>
    <n v="348940.13"/>
    <n v="348297.15"/>
    <n v="9587.3899999999558"/>
    <n v="2.7915310483832563E-2"/>
    <n v="-4092.8399999999674"/>
    <n v="0.98840663522163397"/>
  </r>
  <r>
    <s v="AP-101"/>
    <x v="0"/>
    <s v="DoD"/>
    <s v="Aircraft"/>
    <s v="Sarah Chen"/>
    <x v="16"/>
    <x v="3"/>
    <n v="246995.13"/>
    <n v="241454.48"/>
    <n v="251331.73"/>
    <n v="241520.39"/>
    <n v="-5540.6499999999942"/>
    <n v="-2.2432223663681118E-2"/>
    <n v="9877.25"/>
    <n v="1.0409072964808936"/>
  </r>
  <r>
    <s v="AP-101"/>
    <x v="0"/>
    <s v="DoD"/>
    <s v="Aircraft"/>
    <s v="Sarah Chen"/>
    <x v="16"/>
    <x v="4"/>
    <n v="59796.89"/>
    <n v="61307.4"/>
    <n v="58670.06"/>
    <n v="60940.33"/>
    <n v="1510.510000000002"/>
    <n v="2.5260678272732949E-2"/>
    <n v="-2637.3400000000038"/>
    <n v="0.95698170204575628"/>
  </r>
  <r>
    <s v="AP-101"/>
    <x v="0"/>
    <s v="DoD"/>
    <s v="Aircraft"/>
    <s v="Sarah Chen"/>
    <x v="16"/>
    <x v="5"/>
    <n v="95746.57"/>
    <n v="95157.03"/>
    <n v="98237.85"/>
    <n v="96700.25"/>
    <n v="-589.54000000000815"/>
    <n v="-6.1572962874806699E-3"/>
    <n v="3080.820000000007"/>
    <n v="1.0323761681086516"/>
  </r>
  <r>
    <s v="AP-101"/>
    <x v="0"/>
    <s v="DoD"/>
    <s v="Aircraft"/>
    <s v="Sarah Chen"/>
    <x v="17"/>
    <x v="0"/>
    <n v="550681.67000000004"/>
    <n v="565165.18999999994"/>
    <n v="542711.49"/>
    <n v="555764.91"/>
    <n v="14483.519999999902"/>
    <n v="2.6301075174701025E-2"/>
    <n v="-22453.699999999953"/>
    <n v="0.96027055381807935"/>
  </r>
  <r>
    <s v="AP-101"/>
    <x v="0"/>
    <s v="DoD"/>
    <s v="Aircraft"/>
    <s v="Sarah Chen"/>
    <x v="17"/>
    <x v="1"/>
    <n v="423369.92"/>
    <n v="432290.79"/>
    <n v="434337.64"/>
    <n v="436458.58"/>
    <n v="8920.8699999999953"/>
    <n v="2.1071100185861093E-2"/>
    <n v="2046.8500000000349"/>
    <n v="1.0047348915298429"/>
  </r>
  <r>
    <s v="AP-101"/>
    <x v="0"/>
    <s v="DoD"/>
    <s v="Aircraft"/>
    <s v="Sarah Chen"/>
    <x v="17"/>
    <x v="2"/>
    <n v="347005.69"/>
    <n v="336423.87"/>
    <n v="337968.58"/>
    <n v="339122.09"/>
    <n v="-10581.820000000007"/>
    <n v="-3.0494658459346898E-2"/>
    <n v="1544.710000000021"/>
    <n v="1.004591558856986"/>
  </r>
  <r>
    <s v="AP-101"/>
    <x v="0"/>
    <s v="DoD"/>
    <s v="Aircraft"/>
    <s v="Sarah Chen"/>
    <x v="17"/>
    <x v="3"/>
    <n v="246562.55"/>
    <n v="254852.97"/>
    <n v="252370.56"/>
    <n v="256179.89"/>
    <n v="8290.4200000000128"/>
    <n v="3.3624003320861233E-2"/>
    <n v="-2482.4100000000035"/>
    <n v="0.99025944253268849"/>
  </r>
  <r>
    <s v="AP-101"/>
    <x v="0"/>
    <s v="DoD"/>
    <s v="Aircraft"/>
    <s v="Sarah Chen"/>
    <x v="17"/>
    <x v="4"/>
    <n v="59481.21"/>
    <n v="57667.49"/>
    <n v="60351.6"/>
    <n v="58945.86"/>
    <n v="-1813.7200000000012"/>
    <n v="-3.0492318498564524E-2"/>
    <n v="2684.1100000000006"/>
    <n v="1.0465445955771615"/>
  </r>
  <r>
    <s v="AP-101"/>
    <x v="0"/>
    <s v="DoD"/>
    <s v="Aircraft"/>
    <s v="Sarah Chen"/>
    <x v="17"/>
    <x v="5"/>
    <n v="93032.06"/>
    <n v="93669.13"/>
    <n v="93618.67"/>
    <n v="93910.34"/>
    <n v="637.07000000000698"/>
    <n v="6.8478543848218242E-3"/>
    <n v="-50.460000000006403"/>
    <n v="0.99946129530614825"/>
  </r>
  <r>
    <s v="AP-101"/>
    <x v="0"/>
    <s v="DoD"/>
    <s v="Aircraft"/>
    <s v="Sarah Chen"/>
    <x v="18"/>
    <x v="0"/>
    <n v="554769.17000000004"/>
    <n v="555323.05000000005"/>
    <n v="557405.96"/>
    <n v="556289.04"/>
    <n v="553.88000000000466"/>
    <n v="9.9839722528201162E-4"/>
    <n v="2082.9099999999162"/>
    <n v="1.0037508077505515"/>
  </r>
  <r>
    <s v="AP-101"/>
    <x v="0"/>
    <s v="DoD"/>
    <s v="Aircraft"/>
    <s v="Sarah Chen"/>
    <x v="18"/>
    <x v="1"/>
    <n v="442702.02"/>
    <n v="428809.81"/>
    <n v="449576.39"/>
    <n v="434022.14"/>
    <n v="-13892.210000000021"/>
    <n v="-3.1380498331586605E-2"/>
    <n v="20766.580000000016"/>
    <n v="1.0484284163181807"/>
  </r>
  <r>
    <s v="AP-101"/>
    <x v="0"/>
    <s v="DoD"/>
    <s v="Aircraft"/>
    <s v="Sarah Chen"/>
    <x v="18"/>
    <x v="2"/>
    <n v="363247.35"/>
    <n v="359918.01"/>
    <n v="363427.69"/>
    <n v="366676.26"/>
    <n v="-3329.3399999999674"/>
    <n v="-9.165490126768901E-3"/>
    <n v="3509.679999999993"/>
    <n v="1.0097513319769689"/>
  </r>
  <r>
    <s v="AP-101"/>
    <x v="0"/>
    <s v="DoD"/>
    <s v="Aircraft"/>
    <s v="Sarah Chen"/>
    <x v="18"/>
    <x v="3"/>
    <n v="251991.43"/>
    <n v="244367.34"/>
    <n v="245401.15"/>
    <n v="248138.35"/>
    <n v="-7624.0899999999965"/>
    <n v="-3.025535431899409E-2"/>
    <n v="1033.8099999999977"/>
    <n v="1.00423055716038"/>
  </r>
  <r>
    <s v="AP-101"/>
    <x v="0"/>
    <s v="DoD"/>
    <s v="Aircraft"/>
    <s v="Sarah Chen"/>
    <x v="18"/>
    <x v="4"/>
    <n v="58547.91"/>
    <n v="57372.36"/>
    <n v="58563.54"/>
    <n v="58552.43"/>
    <n v="-1175.5500000000029"/>
    <n v="-2.007842807710818E-2"/>
    <n v="1191.1800000000003"/>
    <n v="1.0207622625250208"/>
  </r>
  <r>
    <s v="AP-101"/>
    <x v="0"/>
    <s v="DoD"/>
    <s v="Aircraft"/>
    <s v="Sarah Chen"/>
    <x v="18"/>
    <x v="5"/>
    <n v="92961.62"/>
    <n v="91833.08"/>
    <n v="90215.13"/>
    <n v="93310.58"/>
    <n v="-1128.5399999999936"/>
    <n v="-1.2139848681638655E-2"/>
    <n v="-1617.9499999999971"/>
    <n v="0.98238162108904548"/>
  </r>
  <r>
    <s v="AP-101"/>
    <x v="0"/>
    <s v="DoD"/>
    <s v="Aircraft"/>
    <s v="Sarah Chen"/>
    <x v="19"/>
    <x v="0"/>
    <n v="561108.54"/>
    <n v="548742.11"/>
    <n v="565559.65"/>
    <n v="556254.93000000005"/>
    <n v="-12366.430000000051"/>
    <n v="-2.2039283166141174E-2"/>
    <n v="16817.540000000037"/>
    <n v="1.0306474383750137"/>
  </r>
  <r>
    <s v="AP-101"/>
    <x v="0"/>
    <s v="DoD"/>
    <s v="Aircraft"/>
    <s v="Sarah Chen"/>
    <x v="19"/>
    <x v="1"/>
    <n v="434466.36"/>
    <n v="429443.86"/>
    <n v="432732.63"/>
    <n v="432917.45"/>
    <n v="-5022.5"/>
    <n v="-1.1560158535634382E-2"/>
    <n v="3288.7700000000186"/>
    <n v="1.0076582070587761"/>
  </r>
  <r>
    <s v="AP-101"/>
    <x v="0"/>
    <s v="DoD"/>
    <s v="Aircraft"/>
    <s v="Sarah Chen"/>
    <x v="19"/>
    <x v="2"/>
    <n v="339324.12"/>
    <n v="338624.32"/>
    <n v="332891.82"/>
    <n v="336601.89"/>
    <n v="-699.79999999998836"/>
    <n v="-2.0623349734171219E-3"/>
    <n v="-5732.5"/>
    <n v="0.98307121000641651"/>
  </r>
  <r>
    <s v="AP-101"/>
    <x v="0"/>
    <s v="DoD"/>
    <s v="Aircraft"/>
    <s v="Sarah Chen"/>
    <x v="19"/>
    <x v="3"/>
    <n v="260521.28"/>
    <n v="256118.02"/>
    <n v="257127.67999999999"/>
    <n v="255379.99"/>
    <n v="-4403.2600000000093"/>
    <n v="-1.6901728718667471E-2"/>
    <n v="1009.6600000000035"/>
    <n v="1.0039421669744284"/>
  </r>
  <r>
    <s v="AP-101"/>
    <x v="0"/>
    <s v="DoD"/>
    <s v="Aircraft"/>
    <s v="Sarah Chen"/>
    <x v="19"/>
    <x v="4"/>
    <n v="63329.47"/>
    <n v="61541.52"/>
    <n v="62327.38"/>
    <n v="62422.5"/>
    <n v="-1787.9500000000044"/>
    <n v="-2.8232511656895349E-2"/>
    <n v="785.86000000000058"/>
    <n v="1.0127695903513596"/>
  </r>
  <r>
    <s v="AP-101"/>
    <x v="0"/>
    <s v="DoD"/>
    <s v="Aircraft"/>
    <s v="Sarah Chen"/>
    <x v="19"/>
    <x v="5"/>
    <n v="93617.77"/>
    <n v="95012.68"/>
    <n v="95028.55"/>
    <n v="95759.59"/>
    <n v="1394.9099999999889"/>
    <n v="1.4900055833416977E-2"/>
    <n v="15.870000000009895"/>
    <n v="1.0001670303374246"/>
  </r>
  <r>
    <s v="AP-101"/>
    <x v="0"/>
    <s v="DoD"/>
    <s v="Aircraft"/>
    <s v="Sarah Chen"/>
    <x v="20"/>
    <x v="0"/>
    <n v="561755.38"/>
    <n v="577769.04"/>
    <n v="576832.57999999996"/>
    <n v="572539.56000000006"/>
    <n v="16013.660000000033"/>
    <n v="2.8506464860203088E-2"/>
    <n v="-936.46000000007916"/>
    <n v="0.99837917933435816"/>
  </r>
  <r>
    <s v="AP-101"/>
    <x v="0"/>
    <s v="DoD"/>
    <s v="Aircraft"/>
    <s v="Sarah Chen"/>
    <x v="20"/>
    <x v="1"/>
    <n v="435225.07"/>
    <n v="445765.52"/>
    <n v="442207.65"/>
    <n v="449599.48"/>
    <n v="10540.450000000012"/>
    <n v="2.4218388890143695E-2"/>
    <n v="-3557.8699999999953"/>
    <n v="0.99201851682023323"/>
  </r>
  <r>
    <s v="AP-101"/>
    <x v="0"/>
    <s v="DoD"/>
    <s v="Aircraft"/>
    <s v="Sarah Chen"/>
    <x v="20"/>
    <x v="2"/>
    <n v="366368.55"/>
    <n v="375728.28"/>
    <n v="377103.8"/>
    <n v="371757.72"/>
    <n v="9359.7300000000396"/>
    <n v="2.5547307485863729E-2"/>
    <n v="1375.5199999999604"/>
    <n v="1.0036609434882036"/>
  </r>
  <r>
    <s v="AP-101"/>
    <x v="0"/>
    <s v="DoD"/>
    <s v="Aircraft"/>
    <s v="Sarah Chen"/>
    <x v="20"/>
    <x v="3"/>
    <n v="264636.3"/>
    <n v="270240.68"/>
    <n v="269584.48"/>
    <n v="269955.49"/>
    <n v="5604.3800000000047"/>
    <n v="2.1177669125513034E-2"/>
    <n v="-656.20000000001164"/>
    <n v="0.99757179415031072"/>
  </r>
  <r>
    <s v="AP-101"/>
    <x v="0"/>
    <s v="DoD"/>
    <s v="Aircraft"/>
    <s v="Sarah Chen"/>
    <x v="20"/>
    <x v="4"/>
    <n v="59545.39"/>
    <n v="59517.81"/>
    <n v="60074.16"/>
    <n v="59084.03"/>
    <n v="-27.580000000001746"/>
    <n v="-4.6317607458783535E-4"/>
    <n v="556.35000000000582"/>
    <n v="1.0093476221655333"/>
  </r>
  <r>
    <s v="AP-101"/>
    <x v="0"/>
    <s v="DoD"/>
    <s v="Aircraft"/>
    <s v="Sarah Chen"/>
    <x v="20"/>
    <x v="5"/>
    <n v="92626.09"/>
    <n v="90202.81"/>
    <n v="94485.26"/>
    <n v="92076.96"/>
    <n v="-2423.2799999999988"/>
    <n v="-2.6161959335647213E-2"/>
    <n v="4282.4499999999971"/>
    <n v="1.047475793714187"/>
  </r>
  <r>
    <s v="AP-101"/>
    <x v="0"/>
    <s v="DoD"/>
    <s v="Aircraft"/>
    <s v="Sarah Chen"/>
    <x v="21"/>
    <x v="0"/>
    <n v="567903.23"/>
    <n v="558987.94999999995"/>
    <n v="574942.68000000005"/>
    <n v="565142.85"/>
    <n v="-8915.2800000000279"/>
    <n v="-1.5698590057323724E-2"/>
    <n v="15954.730000000098"/>
    <n v="1.0285421716156853"/>
  </r>
  <r>
    <s v="AP-101"/>
    <x v="0"/>
    <s v="DoD"/>
    <s v="Aircraft"/>
    <s v="Sarah Chen"/>
    <x v="21"/>
    <x v="1"/>
    <n v="456169.25"/>
    <n v="464144.71"/>
    <n v="461182.17"/>
    <n v="468547.95"/>
    <n v="7975.460000000021"/>
    <n v="1.7483554623640284E-2"/>
    <n v="-2962.5400000000373"/>
    <n v="0.99361720615107296"/>
  </r>
  <r>
    <s v="AP-101"/>
    <x v="0"/>
    <s v="DoD"/>
    <s v="Aircraft"/>
    <s v="Sarah Chen"/>
    <x v="21"/>
    <x v="2"/>
    <n v="349198.19"/>
    <n v="338174.48"/>
    <n v="341429.3"/>
    <n v="341333.38"/>
    <n v="-11023.710000000021"/>
    <n v="-3.1568634419325087E-2"/>
    <n v="3254.820000000007"/>
    <n v="1.0096246765870682"/>
  </r>
  <r>
    <s v="AP-101"/>
    <x v="0"/>
    <s v="DoD"/>
    <s v="Aircraft"/>
    <s v="Sarah Chen"/>
    <x v="21"/>
    <x v="3"/>
    <n v="272366.03000000003"/>
    <n v="265153.65999999997"/>
    <n v="265445.63"/>
    <n v="267815.61"/>
    <n v="-7212.3700000000536"/>
    <n v="-2.6480431498744732E-2"/>
    <n v="291.97000000003027"/>
    <n v="1.001101135092761"/>
  </r>
  <r>
    <s v="AP-101"/>
    <x v="0"/>
    <s v="DoD"/>
    <s v="Aircraft"/>
    <s v="Sarah Chen"/>
    <x v="21"/>
    <x v="4"/>
    <n v="62434.09"/>
    <n v="63386.04"/>
    <n v="64073.82"/>
    <n v="63508.77"/>
    <n v="951.95000000000437"/>
    <n v="1.5247279170722348E-2"/>
    <n v="687.77999999999884"/>
    <n v="1.0108506541818987"/>
  </r>
  <r>
    <s v="AP-101"/>
    <x v="0"/>
    <s v="DoD"/>
    <s v="Aircraft"/>
    <s v="Sarah Chen"/>
    <x v="21"/>
    <x v="5"/>
    <n v="98502.17"/>
    <n v="95728.42"/>
    <n v="97620.49"/>
    <n v="96369.55"/>
    <n v="-2773.75"/>
    <n v="-2.8159278115395835E-2"/>
    <n v="1892.070000000007"/>
    <n v="1.0197649767958148"/>
  </r>
  <r>
    <s v="AP-101"/>
    <x v="0"/>
    <s v="DoD"/>
    <s v="Aircraft"/>
    <s v="Sarah Chen"/>
    <x v="22"/>
    <x v="0"/>
    <n v="568195.78"/>
    <n v="579726.54"/>
    <n v="561793.69999999995"/>
    <n v="573394.22"/>
    <n v="11530.760000000009"/>
    <n v="2.0293638928469353E-2"/>
    <n v="-17932.840000000084"/>
    <n v="0.96906672583939302"/>
  </r>
  <r>
    <s v="AP-101"/>
    <x v="0"/>
    <s v="DoD"/>
    <s v="Aircraft"/>
    <s v="Sarah Chen"/>
    <x v="22"/>
    <x v="1"/>
    <n v="447390.71999999997"/>
    <n v="432375.67"/>
    <n v="446570.68"/>
    <n v="442588.33"/>
    <n v="-15015.049999999988"/>
    <n v="-3.3561380084057152E-2"/>
    <n v="14195.010000000009"/>
    <n v="1.0328302700288385"/>
  </r>
  <r>
    <s v="AP-101"/>
    <x v="0"/>
    <s v="DoD"/>
    <s v="Aircraft"/>
    <s v="Sarah Chen"/>
    <x v="22"/>
    <x v="2"/>
    <n v="375388.43"/>
    <n v="379570.48"/>
    <n v="377965.63"/>
    <n v="380177.54"/>
    <n v="4182.0499999999884"/>
    <n v="1.1140593757777746E-2"/>
    <n v="-1604.8499999999767"/>
    <n v="0.99577193147370158"/>
  </r>
  <r>
    <s v="AP-101"/>
    <x v="0"/>
    <s v="DoD"/>
    <s v="Aircraft"/>
    <s v="Sarah Chen"/>
    <x v="22"/>
    <x v="3"/>
    <n v="267472.78000000003"/>
    <n v="272879.75"/>
    <n v="274471.05"/>
    <n v="274246.13"/>
    <n v="5406.9699999999721"/>
    <n v="2.0215028983509915E-2"/>
    <n v="1591.2999999999884"/>
    <n v="1.0058315063686476"/>
  </r>
  <r>
    <s v="AP-101"/>
    <x v="0"/>
    <s v="DoD"/>
    <s v="Aircraft"/>
    <s v="Sarah Chen"/>
    <x v="22"/>
    <x v="4"/>
    <n v="64773.21"/>
    <n v="64716.29"/>
    <n v="66660.429999999993"/>
    <n v="64346.91"/>
    <n v="-56.919999999998254"/>
    <n v="-8.7875836321834678E-4"/>
    <n v="1944.1399999999921"/>
    <n v="1.0300409680468394"/>
  </r>
  <r>
    <s v="AP-101"/>
    <x v="0"/>
    <s v="DoD"/>
    <s v="Aircraft"/>
    <s v="Sarah Chen"/>
    <x v="22"/>
    <x v="5"/>
    <n v="94067.05"/>
    <n v="90974.65"/>
    <n v="91714.61"/>
    <n v="91618.22"/>
    <n v="-3092.4000000000087"/>
    <n v="-3.287442308438511E-2"/>
    <n v="739.9600000000064"/>
    <n v="1.0081336943862933"/>
  </r>
  <r>
    <s v="AP-101"/>
    <x v="0"/>
    <s v="DoD"/>
    <s v="Aircraft"/>
    <s v="Sarah Chen"/>
    <x v="23"/>
    <x v="0"/>
    <n v="575484.46"/>
    <n v="581911.72"/>
    <n v="560994.47"/>
    <n v="589303.31000000006"/>
    <n v="6427.2600000000093"/>
    <n v="1.1168433635896979E-2"/>
    <n v="-20917.25"/>
    <n v="0.96405425551490864"/>
  </r>
  <r>
    <s v="AP-101"/>
    <x v="0"/>
    <s v="DoD"/>
    <s v="Aircraft"/>
    <s v="Sarah Chen"/>
    <x v="23"/>
    <x v="1"/>
    <n v="459916.49"/>
    <n v="454961.56"/>
    <n v="468529.08"/>
    <n v="451878.23"/>
    <n v="-4954.929999999993"/>
    <n v="-1.0773542822958997E-2"/>
    <n v="13567.520000000019"/>
    <n v="1.0298212446783417"/>
  </r>
  <r>
    <s v="AP-101"/>
    <x v="0"/>
    <s v="DoD"/>
    <s v="Aircraft"/>
    <s v="Sarah Chen"/>
    <x v="23"/>
    <x v="2"/>
    <n v="371539.13"/>
    <n v="361988.23"/>
    <n v="364745.23"/>
    <n v="367204.25"/>
    <n v="-9550.9000000000233"/>
    <n v="-2.5706309857591644E-2"/>
    <n v="2757"/>
    <n v="1.007616269733411"/>
  </r>
  <r>
    <s v="AP-101"/>
    <x v="0"/>
    <s v="DoD"/>
    <s v="Aircraft"/>
    <s v="Sarah Chen"/>
    <x v="23"/>
    <x v="3"/>
    <n v="274235.15999999997"/>
    <n v="277680.63"/>
    <n v="271068.34999999998"/>
    <n v="275513.65000000002"/>
    <n v="3445.4700000000303"/>
    <n v="1.2563925063438366E-2"/>
    <n v="-6612.2800000000279"/>
    <n v="0.97618746399415746"/>
  </r>
  <r>
    <s v="AP-101"/>
    <x v="0"/>
    <s v="DoD"/>
    <s v="Aircraft"/>
    <s v="Sarah Chen"/>
    <x v="23"/>
    <x v="4"/>
    <n v="64105.54"/>
    <n v="62791.56"/>
    <n v="64588.11"/>
    <n v="62659.41"/>
    <n v="-1313.9800000000032"/>
    <n v="-2.0497136440937917E-2"/>
    <n v="1796.5500000000029"/>
    <n v="1.0286113292932999"/>
  </r>
  <r>
    <s v="AP-101"/>
    <x v="0"/>
    <s v="DoD"/>
    <s v="Aircraft"/>
    <s v="Sarah Chen"/>
    <x v="23"/>
    <x v="5"/>
    <n v="96946.98"/>
    <n v="98317.79"/>
    <n v="94773.36"/>
    <n v="98191.6"/>
    <n v="1370.8099999999977"/>
    <n v="1.4139790636077553E-2"/>
    <n v="-3544.429999999993"/>
    <n v="0.9639492506900329"/>
  </r>
  <r>
    <s v="AP-102"/>
    <x v="1"/>
    <s v="DoD"/>
    <s v="Missile Systems"/>
    <s v="Marcus Reed"/>
    <x v="0"/>
    <x v="0"/>
    <n v="421163.12"/>
    <n v="435412.66"/>
    <n v="415164.24"/>
    <n v="425882.85"/>
    <n v="14249.539999999979"/>
    <n v="3.3833779178005847E-2"/>
    <n v="-20248.419999999984"/>
    <n v="0.95349602374905684"/>
  </r>
  <r>
    <s v="AP-102"/>
    <x v="1"/>
    <s v="DoD"/>
    <s v="Missile Systems"/>
    <s v="Marcus Reed"/>
    <x v="0"/>
    <x v="1"/>
    <n v="333455.95"/>
    <n v="330242.63"/>
    <n v="334033.37"/>
    <n v="332206.78000000003"/>
    <n v="-3213.320000000007"/>
    <n v="-9.6364152446522747E-3"/>
    <n v="3790.7399999999907"/>
    <n v="1.011478651317669"/>
  </r>
  <r>
    <s v="AP-102"/>
    <x v="1"/>
    <s v="DoD"/>
    <s v="Missile Systems"/>
    <s v="Marcus Reed"/>
    <x v="0"/>
    <x v="2"/>
    <n v="273937.03000000003"/>
    <n v="274156.90999999997"/>
    <n v="276882.63"/>
    <n v="277845.86"/>
    <n v="219.87999999994645"/>
    <n v="8.0266621858295843E-4"/>
    <n v="2725.7200000000303"/>
    <n v="1.0099421896752485"/>
  </r>
  <r>
    <s v="AP-102"/>
    <x v="1"/>
    <s v="DoD"/>
    <s v="Missile Systems"/>
    <s v="Marcus Reed"/>
    <x v="0"/>
    <x v="3"/>
    <n v="192653.52"/>
    <n v="190677.41"/>
    <n v="191032.02"/>
    <n v="190763.8"/>
    <n v="-1976.109999999986"/>
    <n v="-1.0257326209248531E-2"/>
    <n v="354.60999999998603"/>
    <n v="1.0018597378682665"/>
  </r>
  <r>
    <s v="AP-102"/>
    <x v="1"/>
    <s v="DoD"/>
    <s v="Missile Systems"/>
    <s v="Marcus Reed"/>
    <x v="0"/>
    <x v="4"/>
    <n v="47241.89"/>
    <n v="48585.53"/>
    <n v="47354.62"/>
    <n v="47792.26"/>
    <n v="1343.6399999999994"/>
    <n v="2.8441707137457868E-2"/>
    <n v="-1230.9099999999962"/>
    <n v="0.97466509061442785"/>
  </r>
  <r>
    <s v="AP-102"/>
    <x v="1"/>
    <s v="DoD"/>
    <s v="Missile Systems"/>
    <s v="Marcus Reed"/>
    <x v="0"/>
    <x v="5"/>
    <n v="71403.61"/>
    <n v="70616.86"/>
    <n v="72090.34"/>
    <n v="71635.960000000006"/>
    <n v="-786.75"/>
    <n v="-1.1018350472756209E-2"/>
    <n v="1473.4799999999959"/>
    <n v="1.020865838554702"/>
  </r>
  <r>
    <s v="AP-102"/>
    <x v="1"/>
    <s v="DoD"/>
    <s v="Missile Systems"/>
    <s v="Marcus Reed"/>
    <x v="1"/>
    <x v="0"/>
    <n v="442418.42"/>
    <n v="439705.53"/>
    <n v="448227.94"/>
    <n v="446424.56"/>
    <n v="-2712.8899999999558"/>
    <n v="-6.1319553557466159E-3"/>
    <n v="8522.4099999999744"/>
    <n v="1.0193820850968147"/>
  </r>
  <r>
    <s v="AP-102"/>
    <x v="1"/>
    <s v="DoD"/>
    <s v="Missile Systems"/>
    <s v="Marcus Reed"/>
    <x v="1"/>
    <x v="1"/>
    <n v="336413.32"/>
    <n v="347625.88"/>
    <n v="338565.52"/>
    <n v="339706.39"/>
    <n v="11212.559999999998"/>
    <n v="3.3329714768725559E-2"/>
    <n v="-9060.359999999986"/>
    <n v="0.97393646295839653"/>
  </r>
  <r>
    <s v="AP-102"/>
    <x v="1"/>
    <s v="DoD"/>
    <s v="Missile Systems"/>
    <s v="Marcus Reed"/>
    <x v="1"/>
    <x v="2"/>
    <n v="263165.3"/>
    <n v="266954.73"/>
    <n v="262230.27"/>
    <n v="267174.44"/>
    <n v="3789.429999999993"/>
    <n v="1.4399428800073539E-2"/>
    <n v="-4724.4599999999627"/>
    <n v="0.9823023926191532"/>
  </r>
  <r>
    <s v="AP-102"/>
    <x v="1"/>
    <s v="DoD"/>
    <s v="Missile Systems"/>
    <s v="Marcus Reed"/>
    <x v="1"/>
    <x v="3"/>
    <n v="197213.64"/>
    <n v="195932.43"/>
    <n v="193810.65"/>
    <n v="194330.66"/>
    <n v="-1281.210000000021"/>
    <n v="-6.4965587572949866E-3"/>
    <n v="-2121.7799999999988"/>
    <n v="0.98917085854546893"/>
  </r>
  <r>
    <s v="AP-102"/>
    <x v="1"/>
    <s v="DoD"/>
    <s v="Missile Systems"/>
    <s v="Marcus Reed"/>
    <x v="1"/>
    <x v="4"/>
    <n v="47591.67"/>
    <n v="46072.68"/>
    <n v="47690.01"/>
    <n v="46723.360000000001"/>
    <n v="-1518.989999999998"/>
    <n v="-3.1917140121369938E-2"/>
    <n v="1617.3300000000017"/>
    <n v="1.035103883689857"/>
  </r>
  <r>
    <s v="AP-102"/>
    <x v="1"/>
    <s v="DoD"/>
    <s v="Missile Systems"/>
    <s v="Marcus Reed"/>
    <x v="1"/>
    <x v="5"/>
    <n v="69577.81"/>
    <n v="69933.990000000005"/>
    <n v="71332.95"/>
    <n v="69408.58"/>
    <n v="356.18000000000757"/>
    <n v="5.1191608359045446E-3"/>
    <n v="1398.9599999999919"/>
    <n v="1.0200040066353999"/>
  </r>
  <r>
    <s v="AP-102"/>
    <x v="1"/>
    <s v="DoD"/>
    <s v="Missile Systems"/>
    <s v="Marcus Reed"/>
    <x v="2"/>
    <x v="0"/>
    <n v="422483.09"/>
    <n v="415601.08"/>
    <n v="422758.18"/>
    <n v="415781.7"/>
    <n v="-6882.0100000000093"/>
    <n v="-1.6289433027958607E-2"/>
    <n v="7157.0999999999767"/>
    <n v="1.0172210813311648"/>
  </r>
  <r>
    <s v="AP-102"/>
    <x v="1"/>
    <s v="DoD"/>
    <s v="Missile Systems"/>
    <s v="Marcus Reed"/>
    <x v="2"/>
    <x v="1"/>
    <n v="348291.33"/>
    <n v="342420.56"/>
    <n v="338845.3"/>
    <n v="349027.1"/>
    <n v="-5870.7700000000186"/>
    <n v="-1.6855917716929729E-2"/>
    <n v="-3575.2600000000093"/>
    <n v="0.98955886293743578"/>
  </r>
  <r>
    <s v="AP-102"/>
    <x v="1"/>
    <s v="DoD"/>
    <s v="Missile Systems"/>
    <s v="Marcus Reed"/>
    <x v="2"/>
    <x v="2"/>
    <n v="266403.94"/>
    <n v="266915.06"/>
    <n v="261636.93"/>
    <n v="270962.65999999997"/>
    <n v="511.11999999999534"/>
    <n v="1.9185902430722134E-3"/>
    <n v="-5278.1300000000047"/>
    <n v="0.98022543201571311"/>
  </r>
  <r>
    <s v="AP-102"/>
    <x v="1"/>
    <s v="DoD"/>
    <s v="Missile Systems"/>
    <s v="Marcus Reed"/>
    <x v="2"/>
    <x v="3"/>
    <n v="201930.54"/>
    <n v="207486.81"/>
    <n v="207858.99"/>
    <n v="206760.46"/>
    <n v="5556.2699999999895"/>
    <n v="2.7515748732212519E-2"/>
    <n v="372.17999999999302"/>
    <n v="1.0017937525763685"/>
  </r>
  <r>
    <s v="AP-102"/>
    <x v="1"/>
    <s v="DoD"/>
    <s v="Missile Systems"/>
    <s v="Marcus Reed"/>
    <x v="2"/>
    <x v="4"/>
    <n v="47259.3"/>
    <n v="47554.68"/>
    <n v="46553.66"/>
    <n v="47584.23"/>
    <n v="295.37999999999738"/>
    <n v="6.2501983736533836E-3"/>
    <n v="-1001.0199999999968"/>
    <n v="0.97895012646494528"/>
  </r>
  <r>
    <s v="AP-102"/>
    <x v="1"/>
    <s v="DoD"/>
    <s v="Missile Systems"/>
    <s v="Marcus Reed"/>
    <x v="2"/>
    <x v="5"/>
    <n v="72337.38"/>
    <n v="71095.839999999997"/>
    <n v="71817.42"/>
    <n v="72288.5"/>
    <n v="-1241.5400000000081"/>
    <n v="-1.7163187276066787E-2"/>
    <n v="721.58000000000175"/>
    <n v="1.0101493983332921"/>
  </r>
  <r>
    <s v="AP-102"/>
    <x v="1"/>
    <s v="DoD"/>
    <s v="Missile Systems"/>
    <s v="Marcus Reed"/>
    <x v="3"/>
    <x v="0"/>
    <n v="448622.79"/>
    <n v="464062.93"/>
    <n v="444507.9"/>
    <n v="458208.87"/>
    <n v="15440.140000000014"/>
    <n v="3.4416753549234569E-2"/>
    <n v="-19555.02999999997"/>
    <n v="0.95786125386054866"/>
  </r>
  <r>
    <s v="AP-102"/>
    <x v="1"/>
    <s v="DoD"/>
    <s v="Missile Systems"/>
    <s v="Marcus Reed"/>
    <x v="3"/>
    <x v="1"/>
    <n v="353598.5"/>
    <n v="354045.13"/>
    <n v="345238.77"/>
    <n v="358970.34"/>
    <n v="446.63000000000466"/>
    <n v="1.2630992495726216E-3"/>
    <n v="-8806.359999999986"/>
    <n v="0.97512644786273439"/>
  </r>
  <r>
    <s v="AP-102"/>
    <x v="1"/>
    <s v="DoD"/>
    <s v="Missile Systems"/>
    <s v="Marcus Reed"/>
    <x v="3"/>
    <x v="2"/>
    <n v="269338.89"/>
    <n v="263697.39"/>
    <n v="269465.27"/>
    <n v="268285.53999999998"/>
    <n v="-5641.5"/>
    <n v="-2.094573123101532E-2"/>
    <n v="5767.8800000000047"/>
    <n v="1.021873102346595"/>
  </r>
  <r>
    <s v="AP-102"/>
    <x v="1"/>
    <s v="DoD"/>
    <s v="Missile Systems"/>
    <s v="Marcus Reed"/>
    <x v="3"/>
    <x v="3"/>
    <n v="192716.01"/>
    <n v="191666.51"/>
    <n v="195710.78"/>
    <n v="193997.07"/>
    <n v="-1049.5"/>
    <n v="-5.44583711545294E-3"/>
    <n v="4044.2699999999895"/>
    <n v="1.0211005563778461"/>
  </r>
  <r>
    <s v="AP-102"/>
    <x v="1"/>
    <s v="DoD"/>
    <s v="Missile Systems"/>
    <s v="Marcus Reed"/>
    <x v="3"/>
    <x v="4"/>
    <n v="46667.53"/>
    <n v="45770.559999999998"/>
    <n v="46725.72"/>
    <n v="46409.59"/>
    <n v="-896.97000000000116"/>
    <n v="-1.9220430136328216E-2"/>
    <n v="955.16000000000349"/>
    <n v="1.020868435955339"/>
  </r>
  <r>
    <s v="AP-102"/>
    <x v="1"/>
    <s v="DoD"/>
    <s v="Missile Systems"/>
    <s v="Marcus Reed"/>
    <x v="3"/>
    <x v="5"/>
    <n v="73894.34"/>
    <n v="76378.16"/>
    <n v="71735.34"/>
    <n v="76123.199999999997"/>
    <n v="2483.820000000007"/>
    <n v="3.3613129232902099E-2"/>
    <n v="-4642.820000000007"/>
    <n v="0.93921272782690746"/>
  </r>
  <r>
    <s v="AP-102"/>
    <x v="1"/>
    <s v="DoD"/>
    <s v="Missile Systems"/>
    <s v="Marcus Reed"/>
    <x v="4"/>
    <x v="0"/>
    <n v="434177.8"/>
    <n v="447201.7"/>
    <n v="441010.73"/>
    <n v="448297.69"/>
    <n v="13023.900000000023"/>
    <n v="2.9996697205614896E-2"/>
    <n v="-6190.9700000000303"/>
    <n v="0.98615620200012655"/>
  </r>
  <r>
    <s v="AP-102"/>
    <x v="1"/>
    <s v="DoD"/>
    <s v="Missile Systems"/>
    <s v="Marcus Reed"/>
    <x v="4"/>
    <x v="1"/>
    <n v="344011.69"/>
    <n v="335119.48"/>
    <n v="338524.69"/>
    <n v="338213.66"/>
    <n v="-8892.210000000021"/>
    <n v="-2.584856927391049E-2"/>
    <n v="3405.210000000021"/>
    <n v="1.0101611819163721"/>
  </r>
  <r>
    <s v="AP-102"/>
    <x v="1"/>
    <s v="DoD"/>
    <s v="Missile Systems"/>
    <s v="Marcus Reed"/>
    <x v="4"/>
    <x v="2"/>
    <n v="279033.58"/>
    <n v="273366.57"/>
    <n v="283327.5"/>
    <n v="272768.92"/>
    <n v="-5667.0100000000093"/>
    <n v="-2.0309419389594647E-2"/>
    <n v="9960.929999999993"/>
    <n v="1.0364379960578207"/>
  </r>
  <r>
    <s v="AP-102"/>
    <x v="1"/>
    <s v="DoD"/>
    <s v="Missile Systems"/>
    <s v="Marcus Reed"/>
    <x v="4"/>
    <x v="3"/>
    <n v="206845.29"/>
    <n v="201936.8"/>
    <n v="202505.37"/>
    <n v="201613.34"/>
    <n v="-4908.4900000000198"/>
    <n v="-2.3730247858194012E-2"/>
    <n v="568.57000000000698"/>
    <n v="1.0028155838856514"/>
  </r>
  <r>
    <s v="AP-102"/>
    <x v="1"/>
    <s v="DoD"/>
    <s v="Missile Systems"/>
    <s v="Marcus Reed"/>
    <x v="4"/>
    <x v="4"/>
    <n v="46865.02"/>
    <n v="48081.120000000003"/>
    <n v="45469.56"/>
    <n v="47543.06"/>
    <n v="1216.1000000000058"/>
    <n v="2.5948991379924853E-2"/>
    <n v="-2611.5600000000049"/>
    <n v="0.9456842935439107"/>
  </r>
  <r>
    <s v="AP-102"/>
    <x v="1"/>
    <s v="DoD"/>
    <s v="Missile Systems"/>
    <s v="Marcus Reed"/>
    <x v="4"/>
    <x v="5"/>
    <n v="74904.960000000006"/>
    <n v="75592.23"/>
    <n v="75343.039999999994"/>
    <n v="74654.13"/>
    <n v="687.26999999998952"/>
    <n v="9.1752268474609624E-3"/>
    <n v="-249.19000000000233"/>
    <n v="0.99670349717160078"/>
  </r>
  <r>
    <s v="AP-102"/>
    <x v="1"/>
    <s v="DoD"/>
    <s v="Missile Systems"/>
    <s v="Marcus Reed"/>
    <x v="5"/>
    <x v="0"/>
    <n v="453478.5"/>
    <n v="450461.35"/>
    <n v="452587.91"/>
    <n v="452941.81"/>
    <n v="-3017.1500000000233"/>
    <n v="-6.6533474023576051E-3"/>
    <n v="2126.5599999999977"/>
    <n v="1.0047208489696176"/>
  </r>
  <r>
    <s v="AP-102"/>
    <x v="1"/>
    <s v="DoD"/>
    <s v="Missile Systems"/>
    <s v="Marcus Reed"/>
    <x v="5"/>
    <x v="1"/>
    <n v="342599.33"/>
    <n v="334585.03000000003"/>
    <n v="332581.96000000002"/>
    <n v="337503.13"/>
    <n v="-8014.2999999999884"/>
    <n v="-2.339263185365829E-2"/>
    <n v="-2003.070000000007"/>
    <n v="0.99401327070729972"/>
  </r>
  <r>
    <s v="AP-102"/>
    <x v="1"/>
    <s v="DoD"/>
    <s v="Missile Systems"/>
    <s v="Marcus Reed"/>
    <x v="5"/>
    <x v="2"/>
    <n v="276522.96000000002"/>
    <n v="285257.43"/>
    <n v="281662.15000000002"/>
    <n v="280408.90999999997"/>
    <n v="8734.4699999999721"/>
    <n v="3.1586780352705512E-2"/>
    <n v="-3595.2799999999697"/>
    <n v="0.9873963668536172"/>
  </r>
  <r>
    <s v="AP-102"/>
    <x v="1"/>
    <s v="DoD"/>
    <s v="Missile Systems"/>
    <s v="Marcus Reed"/>
    <x v="5"/>
    <x v="3"/>
    <n v="195315.81"/>
    <n v="194861.7"/>
    <n v="196692.53"/>
    <n v="196347.34"/>
    <n v="-454.10999999998603"/>
    <n v="-2.325003797695568E-3"/>
    <n v="1830.8299999999872"/>
    <n v="1.0093955353976691"/>
  </r>
  <r>
    <s v="AP-102"/>
    <x v="1"/>
    <s v="DoD"/>
    <s v="Missile Systems"/>
    <s v="Marcus Reed"/>
    <x v="5"/>
    <x v="4"/>
    <n v="46362.04"/>
    <n v="46646.73"/>
    <n v="46918.33"/>
    <n v="46896.4"/>
    <n v="284.69000000000233"/>
    <n v="6.1405839777542645E-3"/>
    <n v="271.59999999999854"/>
    <n v="1.0058224874498169"/>
  </r>
  <r>
    <s v="AP-102"/>
    <x v="1"/>
    <s v="DoD"/>
    <s v="Missile Systems"/>
    <s v="Marcus Reed"/>
    <x v="5"/>
    <x v="5"/>
    <n v="75941.58"/>
    <n v="75203.98"/>
    <n v="75608.210000000006"/>
    <n v="75082.960000000006"/>
    <n v="-737.60000000000582"/>
    <n v="-9.7127291794561789E-3"/>
    <n v="404.23000000001048"/>
    <n v="1.0053751144553786"/>
  </r>
  <r>
    <s v="AP-102"/>
    <x v="1"/>
    <s v="DoD"/>
    <s v="Missile Systems"/>
    <s v="Marcus Reed"/>
    <x v="6"/>
    <x v="0"/>
    <n v="447792.97"/>
    <n v="445743.69"/>
    <n v="456942.89"/>
    <n v="451283.52"/>
    <n v="-2049.2799999999697"/>
    <n v="-4.5764005629654481E-3"/>
    <n v="11199.200000000012"/>
    <n v="1.0251247527474814"/>
  </r>
  <r>
    <s v="AP-102"/>
    <x v="1"/>
    <s v="DoD"/>
    <s v="Missile Systems"/>
    <s v="Marcus Reed"/>
    <x v="6"/>
    <x v="1"/>
    <n v="344425.5"/>
    <n v="347698.34"/>
    <n v="341513.02"/>
    <n v="351032.06"/>
    <n v="3272.8400000000256"/>
    <n v="9.5023161757768395E-3"/>
    <n v="-6185.320000000007"/>
    <n v="0.982210671468837"/>
  </r>
  <r>
    <s v="AP-102"/>
    <x v="1"/>
    <s v="DoD"/>
    <s v="Missile Systems"/>
    <s v="Marcus Reed"/>
    <x v="6"/>
    <x v="2"/>
    <n v="289658.34999999998"/>
    <n v="299477.37"/>
    <n v="288759.09000000003"/>
    <n v="297761.11"/>
    <n v="9819.0200000000186"/>
    <n v="3.3898625743052184E-2"/>
    <n v="-10718.27999999997"/>
    <n v="0.96421005032867768"/>
  </r>
  <r>
    <s v="AP-102"/>
    <x v="1"/>
    <s v="DoD"/>
    <s v="Missile Systems"/>
    <s v="Marcus Reed"/>
    <x v="6"/>
    <x v="3"/>
    <n v="201642.53"/>
    <n v="206965.13"/>
    <n v="204414.06"/>
    <n v="208061.59"/>
    <n v="5322.6000000000058"/>
    <n v="2.6396217107571531E-2"/>
    <n v="-2551.070000000007"/>
    <n v="0.98767391395835613"/>
  </r>
  <r>
    <s v="AP-102"/>
    <x v="1"/>
    <s v="DoD"/>
    <s v="Missile Systems"/>
    <s v="Marcus Reed"/>
    <x v="6"/>
    <x v="4"/>
    <n v="48271.82"/>
    <n v="48888.23"/>
    <n v="47621.99"/>
    <n v="49171.09"/>
    <n v="616.41000000000349"/>
    <n v="1.2769562034329832E-2"/>
    <n v="-1266.2400000000052"/>
    <n v="0.97409928729266726"/>
  </r>
  <r>
    <s v="AP-102"/>
    <x v="1"/>
    <s v="DoD"/>
    <s v="Missile Systems"/>
    <s v="Marcus Reed"/>
    <x v="6"/>
    <x v="5"/>
    <n v="73526.59"/>
    <n v="75519.75"/>
    <n v="72555.12"/>
    <n v="75917.63"/>
    <n v="1993.1600000000035"/>
    <n v="2.7108016297233473E-2"/>
    <n v="-2964.6300000000047"/>
    <n v="0.96074364652955013"/>
  </r>
  <r>
    <s v="AP-102"/>
    <x v="1"/>
    <s v="DoD"/>
    <s v="Missile Systems"/>
    <s v="Marcus Reed"/>
    <x v="7"/>
    <x v="0"/>
    <n v="443963.02"/>
    <n v="483236.15"/>
    <n v="438861.61"/>
    <n v="468049.48"/>
    <n v="39273.130000000005"/>
    <n v="8.8460363207728432E-2"/>
    <n v="-44374.540000000037"/>
    <n v="0.908172143164372"/>
  </r>
  <r>
    <s v="AP-102"/>
    <x v="1"/>
    <s v="DoD"/>
    <s v="Missile Systems"/>
    <s v="Marcus Reed"/>
    <x v="7"/>
    <x v="1"/>
    <n v="349566.66"/>
    <n v="349179.66"/>
    <n v="354327.95"/>
    <n v="346211.4"/>
    <n v="-387"/>
    <n v="-1.1070849834477923E-3"/>
    <n v="5148.2900000000373"/>
    <n v="1.0147439573083954"/>
  </r>
  <r>
    <s v="AP-102"/>
    <x v="1"/>
    <s v="DoD"/>
    <s v="Missile Systems"/>
    <s v="Marcus Reed"/>
    <x v="7"/>
    <x v="2"/>
    <n v="289928.96999999997"/>
    <n v="298029.95"/>
    <n v="284762.15000000002"/>
    <n v="292431.06"/>
    <n v="8100.9800000000396"/>
    <n v="2.7941257474201491E-2"/>
    <n v="-13267.799999999988"/>
    <n v="0.95548165545107133"/>
  </r>
  <r>
    <s v="AP-102"/>
    <x v="1"/>
    <s v="DoD"/>
    <s v="Missile Systems"/>
    <s v="Marcus Reed"/>
    <x v="7"/>
    <x v="3"/>
    <n v="204802.95"/>
    <n v="202004.48000000001"/>
    <n v="207058.03"/>
    <n v="201260.48"/>
    <n v="-2798.4700000000012"/>
    <n v="-1.3664207473573994E-2"/>
    <n v="5053.5499999999884"/>
    <n v="1.0250170194245196"/>
  </r>
  <r>
    <s v="AP-102"/>
    <x v="1"/>
    <s v="DoD"/>
    <s v="Missile Systems"/>
    <s v="Marcus Reed"/>
    <x v="7"/>
    <x v="4"/>
    <n v="48615.5"/>
    <n v="49228.63"/>
    <n v="47908.29"/>
    <n v="49882.42"/>
    <n v="613.12999999999738"/>
    <n v="1.2611821332702479E-2"/>
    <n v="-1320.3399999999965"/>
    <n v="0.97317942831234594"/>
  </r>
  <r>
    <s v="AP-102"/>
    <x v="1"/>
    <s v="DoD"/>
    <s v="Missile Systems"/>
    <s v="Marcus Reed"/>
    <x v="7"/>
    <x v="5"/>
    <n v="76689.2"/>
    <n v="76775.649999999994"/>
    <n v="75721.38"/>
    <n v="76553.14"/>
    <n v="86.44999999999709"/>
    <n v="1.1272773741282617E-3"/>
    <n v="-1054.2699999999895"/>
    <n v="0.98626817226555563"/>
  </r>
  <r>
    <s v="AP-102"/>
    <x v="1"/>
    <s v="DoD"/>
    <s v="Missile Systems"/>
    <s v="Marcus Reed"/>
    <x v="8"/>
    <x v="0"/>
    <n v="446756.23"/>
    <n v="491925.76000000001"/>
    <n v="434113.46"/>
    <n v="477637.41"/>
    <n v="45169.530000000028"/>
    <n v="0.10110554026297525"/>
    <n v="-57812.299999999988"/>
    <n v="0.88247759174067242"/>
  </r>
  <r>
    <s v="AP-102"/>
    <x v="1"/>
    <s v="DoD"/>
    <s v="Missile Systems"/>
    <s v="Marcus Reed"/>
    <x v="8"/>
    <x v="1"/>
    <n v="353168.45"/>
    <n v="350375.18"/>
    <n v="345311.08"/>
    <n v="347940"/>
    <n v="-2793.2700000000186"/>
    <n v="-7.9091719546296353E-3"/>
    <n v="-5064.0999999999767"/>
    <n v="0.98554663603740433"/>
  </r>
  <r>
    <s v="AP-102"/>
    <x v="1"/>
    <s v="DoD"/>
    <s v="Missile Systems"/>
    <s v="Marcus Reed"/>
    <x v="8"/>
    <x v="2"/>
    <n v="289469.58"/>
    <n v="283199.09999999998"/>
    <n v="293586.59999999998"/>
    <n v="289805.89"/>
    <n v="-6270.4800000000396"/>
    <n v="-2.166196530910101E-2"/>
    <n v="10387.5"/>
    <n v="1.0366791419887986"/>
  </r>
  <r>
    <s v="AP-102"/>
    <x v="1"/>
    <s v="DoD"/>
    <s v="Missile Systems"/>
    <s v="Marcus Reed"/>
    <x v="8"/>
    <x v="3"/>
    <n v="207380.67"/>
    <n v="210541.11"/>
    <n v="210293.15"/>
    <n v="208353.91"/>
    <n v="3160.4399999999732"/>
    <n v="1.5239800315043697E-2"/>
    <n v="-247.95999999999185"/>
    <n v="0.99882227276183744"/>
  </r>
  <r>
    <s v="AP-102"/>
    <x v="1"/>
    <s v="DoD"/>
    <s v="Missile Systems"/>
    <s v="Marcus Reed"/>
    <x v="8"/>
    <x v="4"/>
    <n v="50249.59"/>
    <n v="51874.69"/>
    <n v="49851.72"/>
    <n v="51680.44"/>
    <n v="1625.1000000000058"/>
    <n v="3.23405623807081E-2"/>
    <n v="-2022.9700000000012"/>
    <n v="0.96100275490802933"/>
  </r>
  <r>
    <s v="AP-102"/>
    <x v="1"/>
    <s v="DoD"/>
    <s v="Missile Systems"/>
    <s v="Marcus Reed"/>
    <x v="8"/>
    <x v="5"/>
    <n v="74395.16"/>
    <n v="72183.039999999994"/>
    <n v="74419.58"/>
    <n v="72120.02"/>
    <n v="-2212.1200000000099"/>
    <n v="-2.973473005501984E-2"/>
    <n v="2236.5400000000081"/>
    <n v="1.030984286613587"/>
  </r>
  <r>
    <s v="AP-102"/>
    <x v="1"/>
    <s v="DoD"/>
    <s v="Missile Systems"/>
    <s v="Marcus Reed"/>
    <x v="9"/>
    <x v="0"/>
    <n v="455585.62"/>
    <n v="483275.02"/>
    <n v="444217.81"/>
    <n v="470386.19"/>
    <n v="27689.400000000023"/>
    <n v="6.0777598731057453E-2"/>
    <n v="-39057.210000000021"/>
    <n v="0.91918222878558875"/>
  </r>
  <r>
    <s v="AP-102"/>
    <x v="1"/>
    <s v="DoD"/>
    <s v="Missile Systems"/>
    <s v="Marcus Reed"/>
    <x v="9"/>
    <x v="1"/>
    <n v="363025.47"/>
    <n v="355107.51"/>
    <n v="371544.83"/>
    <n v="361409.51"/>
    <n v="-7917.9599999999627"/>
    <n v="-2.1811031606129353E-2"/>
    <n v="16437.320000000007"/>
    <n v="1.0462882916782019"/>
  </r>
  <r>
    <s v="AP-102"/>
    <x v="1"/>
    <s v="DoD"/>
    <s v="Missile Systems"/>
    <s v="Marcus Reed"/>
    <x v="9"/>
    <x v="2"/>
    <n v="282398.53999999998"/>
    <n v="290386.03999999998"/>
    <n v="286402.2"/>
    <n v="288405.69"/>
    <n v="7987.5"/>
    <n v="2.8284494671962541E-2"/>
    <n v="-3983.8399999999674"/>
    <n v="0.98628088319948171"/>
  </r>
  <r>
    <s v="AP-102"/>
    <x v="1"/>
    <s v="DoD"/>
    <s v="Missile Systems"/>
    <s v="Marcus Reed"/>
    <x v="9"/>
    <x v="3"/>
    <n v="212592.5"/>
    <n v="212818.77"/>
    <n v="217558.96"/>
    <n v="211987.4"/>
    <n v="226.26999999998952"/>
    <n v="1.0643367004950293E-3"/>
    <n v="4740.1900000000023"/>
    <n v="1.0222733643277799"/>
  </r>
  <r>
    <s v="AP-102"/>
    <x v="1"/>
    <s v="DoD"/>
    <s v="Missile Systems"/>
    <s v="Marcus Reed"/>
    <x v="9"/>
    <x v="4"/>
    <n v="50095.54"/>
    <n v="49550.03"/>
    <n v="49175.9"/>
    <n v="49177.18"/>
    <n v="-545.51000000000204"/>
    <n v="-1.0889392548717951E-2"/>
    <n v="-374.12999999999738"/>
    <n v="0.99244944957651893"/>
  </r>
  <r>
    <s v="AP-102"/>
    <x v="1"/>
    <s v="DoD"/>
    <s v="Missile Systems"/>
    <s v="Marcus Reed"/>
    <x v="9"/>
    <x v="5"/>
    <n v="79665.42"/>
    <n v="79934.3"/>
    <n v="80455.03"/>
    <n v="80836.62"/>
    <n v="268.88000000000466"/>
    <n v="3.3751155771224789E-3"/>
    <n v="520.72999999999593"/>
    <n v="1.006514475012604"/>
  </r>
  <r>
    <s v="AP-102"/>
    <x v="1"/>
    <s v="DoD"/>
    <s v="Missile Systems"/>
    <s v="Marcus Reed"/>
    <x v="10"/>
    <x v="0"/>
    <n v="485153.12"/>
    <n v="515989.51"/>
    <n v="482940.28"/>
    <n v="505080.82"/>
    <n v="30836.390000000014"/>
    <n v="6.3560118916683492E-2"/>
    <n v="-33049.229999999981"/>
    <n v="0.9359498025454045"/>
  </r>
  <r>
    <s v="AP-102"/>
    <x v="1"/>
    <s v="DoD"/>
    <s v="Missile Systems"/>
    <s v="Marcus Reed"/>
    <x v="10"/>
    <x v="1"/>
    <n v="375969.91"/>
    <n v="382809.85"/>
    <n v="381200.53"/>
    <n v="382270.16"/>
    <n v="6839.9400000000023"/>
    <n v="1.8192785693940249E-2"/>
    <n v="-1609.3199999999488"/>
    <n v="0.99579603293906893"/>
  </r>
  <r>
    <s v="AP-102"/>
    <x v="1"/>
    <s v="DoD"/>
    <s v="Missile Systems"/>
    <s v="Marcus Reed"/>
    <x v="10"/>
    <x v="2"/>
    <n v="293229.69"/>
    <n v="290798.13"/>
    <n v="289506.17"/>
    <n v="293012.65999999997"/>
    <n v="-2431.5599999999977"/>
    <n v="-8.2923390192855221E-3"/>
    <n v="-1291.960000000021"/>
    <n v="0.9955571928884136"/>
  </r>
  <r>
    <s v="AP-102"/>
    <x v="1"/>
    <s v="DoD"/>
    <s v="Missile Systems"/>
    <s v="Marcus Reed"/>
    <x v="10"/>
    <x v="3"/>
    <n v="210726.03"/>
    <n v="216128.66"/>
    <n v="212713.97"/>
    <n v="214021.58"/>
    <n v="5402.6300000000047"/>
    <n v="2.5638171041327949E-2"/>
    <n v="-3414.6900000000023"/>
    <n v="0.98420066084710833"/>
  </r>
  <r>
    <s v="AP-102"/>
    <x v="1"/>
    <s v="DoD"/>
    <s v="Missile Systems"/>
    <s v="Marcus Reed"/>
    <x v="10"/>
    <x v="4"/>
    <n v="49786.94"/>
    <n v="49448.58"/>
    <n v="49105.4"/>
    <n v="49853.45"/>
    <n v="-338.36000000000058"/>
    <n v="-6.7961597961232519E-3"/>
    <n v="-343.18000000000029"/>
    <n v="0.99305986137519009"/>
  </r>
  <r>
    <s v="AP-102"/>
    <x v="1"/>
    <s v="DoD"/>
    <s v="Missile Systems"/>
    <s v="Marcus Reed"/>
    <x v="10"/>
    <x v="5"/>
    <n v="78179.039999999994"/>
    <n v="80681.53"/>
    <n v="78003.25"/>
    <n v="80602.17"/>
    <n v="2502.4900000000052"/>
    <n v="3.2009730485306614E-2"/>
    <n v="-2678.2799999999988"/>
    <n v="0.96680429833197268"/>
  </r>
  <r>
    <s v="AP-102"/>
    <x v="1"/>
    <s v="DoD"/>
    <s v="Missile Systems"/>
    <s v="Marcus Reed"/>
    <x v="11"/>
    <x v="0"/>
    <n v="488990.12"/>
    <n v="516326.82"/>
    <n v="486721.68"/>
    <n v="515338.63"/>
    <n v="27336.700000000012"/>
    <n v="5.5904401504063131E-2"/>
    <n v="-29605.140000000014"/>
    <n v="0.94266201395464988"/>
  </r>
  <r>
    <s v="AP-102"/>
    <x v="1"/>
    <s v="DoD"/>
    <s v="Missile Systems"/>
    <s v="Marcus Reed"/>
    <x v="11"/>
    <x v="1"/>
    <n v="383145.27"/>
    <n v="380878.26"/>
    <n v="381824.05"/>
    <n v="383613.67"/>
    <n v="-2267.0100000000093"/>
    <n v="-5.9168419330871795E-3"/>
    <n v="945.78999999997905"/>
    <n v="1.0024831818964937"/>
  </r>
  <r>
    <s v="AP-102"/>
    <x v="1"/>
    <s v="DoD"/>
    <s v="Missile Systems"/>
    <s v="Marcus Reed"/>
    <x v="11"/>
    <x v="2"/>
    <n v="299670.77"/>
    <n v="299661.19"/>
    <n v="297965.14"/>
    <n v="303321.7"/>
    <n v="-9.5800000000162981"/>
    <n v="-3.1968416539311787E-5"/>
    <n v="-1696.0499999999884"/>
    <n v="0.99434010790653271"/>
  </r>
  <r>
    <s v="AP-102"/>
    <x v="1"/>
    <s v="DoD"/>
    <s v="Missile Systems"/>
    <s v="Marcus Reed"/>
    <x v="11"/>
    <x v="3"/>
    <n v="221386.9"/>
    <n v="216208.6"/>
    <n v="226883.64"/>
    <n v="220830.06"/>
    <n v="-5178.2999999999884"/>
    <n v="-2.3390272866190314E-2"/>
    <n v="10675.040000000008"/>
    <n v="1.0493737991920766"/>
  </r>
  <r>
    <s v="AP-102"/>
    <x v="1"/>
    <s v="DoD"/>
    <s v="Missile Systems"/>
    <s v="Marcus Reed"/>
    <x v="11"/>
    <x v="4"/>
    <n v="52085.84"/>
    <n v="51458.63"/>
    <n v="53015.360000000001"/>
    <n v="52061.42"/>
    <n v="-627.20999999999913"/>
    <n v="-1.2041852449725284E-2"/>
    <n v="1556.7300000000032"/>
    <n v="1.0302520685062935"/>
  </r>
  <r>
    <s v="AP-102"/>
    <x v="1"/>
    <s v="DoD"/>
    <s v="Missile Systems"/>
    <s v="Marcus Reed"/>
    <x v="11"/>
    <x v="5"/>
    <n v="75977.98"/>
    <n v="78523.87"/>
    <n v="78052.850000000006"/>
    <n v="78749.61"/>
    <n v="2545.8899999999994"/>
    <n v="3.3508261209366182E-2"/>
    <n v="-471.01999999998952"/>
    <n v="0.99400156920437077"/>
  </r>
  <r>
    <s v="AP-102"/>
    <x v="1"/>
    <s v="DoD"/>
    <s v="Missile Systems"/>
    <s v="Marcus Reed"/>
    <x v="12"/>
    <x v="0"/>
    <n v="435012.11"/>
    <n v="468511.89"/>
    <n v="429297.76"/>
    <n v="464351.05"/>
    <n v="33499.780000000028"/>
    <n v="7.7008844650324856E-2"/>
    <n v="-39214.130000000005"/>
    <n v="0.9163006727534706"/>
  </r>
  <r>
    <s v="AP-102"/>
    <x v="1"/>
    <s v="DoD"/>
    <s v="Missile Systems"/>
    <s v="Marcus Reed"/>
    <x v="12"/>
    <x v="1"/>
    <n v="344687.28"/>
    <n v="355402.06"/>
    <n v="348745.67"/>
    <n v="352023.25"/>
    <n v="10714.77999999997"/>
    <n v="3.1085510321123451E-2"/>
    <n v="-6656.390000000014"/>
    <n v="0.98127081761990909"/>
  </r>
  <r>
    <s v="AP-102"/>
    <x v="1"/>
    <s v="DoD"/>
    <s v="Missile Systems"/>
    <s v="Marcus Reed"/>
    <x v="12"/>
    <x v="2"/>
    <n v="281896.73"/>
    <n v="285670.07"/>
    <n v="284262.03000000003"/>
    <n v="285571.75"/>
    <n v="3773.3400000000256"/>
    <n v="1.3385540158624847E-2"/>
    <n v="-1408.039999999979"/>
    <n v="0.99507109722765152"/>
  </r>
  <r>
    <s v="AP-102"/>
    <x v="1"/>
    <s v="DoD"/>
    <s v="Missile Systems"/>
    <s v="Marcus Reed"/>
    <x v="12"/>
    <x v="3"/>
    <n v="206921.21"/>
    <n v="209979.85"/>
    <n v="206395.7"/>
    <n v="211849.16"/>
    <n v="3058.640000000014"/>
    <n v="1.4781664963200313E-2"/>
    <n v="-3584.1499999999942"/>
    <n v="0.98293098123462797"/>
  </r>
  <r>
    <s v="AP-102"/>
    <x v="1"/>
    <s v="DoD"/>
    <s v="Missile Systems"/>
    <s v="Marcus Reed"/>
    <x v="12"/>
    <x v="4"/>
    <n v="47748.99"/>
    <n v="47515.9"/>
    <n v="46630.879999999997"/>
    <n v="48146.69"/>
    <n v="-233.08999999999651"/>
    <n v="-4.8815692227206593E-3"/>
    <n v="-885.02000000000407"/>
    <n v="0.98137423472984819"/>
  </r>
  <r>
    <s v="AP-102"/>
    <x v="1"/>
    <s v="DoD"/>
    <s v="Missile Systems"/>
    <s v="Marcus Reed"/>
    <x v="12"/>
    <x v="5"/>
    <n v="73377.17"/>
    <n v="71981.66"/>
    <n v="71512.97"/>
    <n v="71652.070000000007"/>
    <n v="-1395.5099999999948"/>
    <n v="-1.9018313189238488E-2"/>
    <n v="-468.69000000000233"/>
    <n v="0.99348875810866266"/>
  </r>
  <r>
    <s v="AP-102"/>
    <x v="1"/>
    <s v="DoD"/>
    <s v="Missile Systems"/>
    <s v="Marcus Reed"/>
    <x v="13"/>
    <x v="0"/>
    <n v="461983.93"/>
    <n v="506204"/>
    <n v="450047.43"/>
    <n v="491677.69"/>
    <n v="44220.070000000007"/>
    <n v="9.5717766633138093E-2"/>
    <n v="-56156.570000000007"/>
    <n v="0.88906336180670242"/>
  </r>
  <r>
    <s v="AP-102"/>
    <x v="1"/>
    <s v="DoD"/>
    <s v="Missile Systems"/>
    <s v="Marcus Reed"/>
    <x v="13"/>
    <x v="1"/>
    <n v="365271.08"/>
    <n v="357155.53"/>
    <n v="369419.02"/>
    <n v="356691.67"/>
    <n v="-8115.5499999999884"/>
    <n v="-2.2217882674971115E-2"/>
    <n v="12263.489999999991"/>
    <n v="1.0343365536017319"/>
  </r>
  <r>
    <s v="AP-102"/>
    <x v="1"/>
    <s v="DoD"/>
    <s v="Missile Systems"/>
    <s v="Marcus Reed"/>
    <x v="13"/>
    <x v="2"/>
    <n v="288722.61"/>
    <n v="285105.21999999997"/>
    <n v="291253.31"/>
    <n v="288214.14"/>
    <n v="-3617.390000000014"/>
    <n v="-1.252894603578159E-2"/>
    <n v="6148.0900000000256"/>
    <n v="1.0215642842316253"/>
  </r>
  <r>
    <s v="AP-102"/>
    <x v="1"/>
    <s v="DoD"/>
    <s v="Missile Systems"/>
    <s v="Marcus Reed"/>
    <x v="13"/>
    <x v="3"/>
    <n v="209163.97"/>
    <n v="203404.72"/>
    <n v="204540.45"/>
    <n v="208969.12"/>
    <n v="-5759.25"/>
    <n v="-2.7534617936349173E-2"/>
    <n v="1135.7300000000105"/>
    <n v="1.0055835970768034"/>
  </r>
  <r>
    <s v="AP-102"/>
    <x v="1"/>
    <s v="DoD"/>
    <s v="Missile Systems"/>
    <s v="Marcus Reed"/>
    <x v="13"/>
    <x v="4"/>
    <n v="50184.3"/>
    <n v="51305.94"/>
    <n v="49031.91"/>
    <n v="50361.79"/>
    <n v="1121.6399999999994"/>
    <n v="2.2350416365277573E-2"/>
    <n v="-2274.0299999999988"/>
    <n v="0.95567706195422986"/>
  </r>
  <r>
    <s v="AP-102"/>
    <x v="1"/>
    <s v="DoD"/>
    <s v="Missile Systems"/>
    <s v="Marcus Reed"/>
    <x v="13"/>
    <x v="5"/>
    <n v="76689.149999999994"/>
    <n v="76953.17"/>
    <n v="76779.360000000001"/>
    <n v="76749.679999999993"/>
    <n v="264.02000000000407"/>
    <n v="3.4427295125842978E-3"/>
    <n v="-173.80999999999767"/>
    <n v="0.99774135360505622"/>
  </r>
  <r>
    <s v="AP-102"/>
    <x v="1"/>
    <s v="DoD"/>
    <s v="Missile Systems"/>
    <s v="Marcus Reed"/>
    <x v="14"/>
    <x v="0"/>
    <n v="468011.68"/>
    <n v="505697.53"/>
    <n v="472236.35"/>
    <n v="496818.09"/>
    <n v="37685.850000000035"/>
    <n v="8.0523310871215933E-2"/>
    <n v="-33461.180000000051"/>
    <n v="0.93383163251756429"/>
  </r>
  <r>
    <s v="AP-102"/>
    <x v="1"/>
    <s v="DoD"/>
    <s v="Missile Systems"/>
    <s v="Marcus Reed"/>
    <x v="14"/>
    <x v="1"/>
    <n v="345549.68"/>
    <n v="340523.72"/>
    <n v="351405.71"/>
    <n v="343464.42"/>
    <n v="-5025.960000000021"/>
    <n v="-1.4544826086946516E-2"/>
    <n v="10881.990000000049"/>
    <n v="1.0319566284545465"/>
  </r>
  <r>
    <s v="AP-102"/>
    <x v="1"/>
    <s v="DoD"/>
    <s v="Missile Systems"/>
    <s v="Marcus Reed"/>
    <x v="14"/>
    <x v="2"/>
    <n v="277901.17"/>
    <n v="268807.90000000002"/>
    <n v="280951.15999999997"/>
    <n v="275972.46999999997"/>
    <n v="-9093.2699999999604"/>
    <n v="-3.272123683394338E-2"/>
    <n v="12143.259999999951"/>
    <n v="1.0451744907794747"/>
  </r>
  <r>
    <s v="AP-102"/>
    <x v="1"/>
    <s v="DoD"/>
    <s v="Missile Systems"/>
    <s v="Marcus Reed"/>
    <x v="14"/>
    <x v="3"/>
    <n v="202060.09"/>
    <n v="204821.7"/>
    <n v="206612.24"/>
    <n v="204313.59"/>
    <n v="2761.6100000000151"/>
    <n v="1.3667270958851969E-2"/>
    <n v="1790.539999999979"/>
    <n v="1.0087419448232291"/>
  </r>
  <r>
    <s v="AP-102"/>
    <x v="1"/>
    <s v="DoD"/>
    <s v="Missile Systems"/>
    <s v="Marcus Reed"/>
    <x v="14"/>
    <x v="4"/>
    <n v="47421.19"/>
    <n v="48567.59"/>
    <n v="46854.51"/>
    <n v="48916.61"/>
    <n v="1146.3999999999942"/>
    <n v="2.4174846729911124E-2"/>
    <n v="-1713.0799999999945"/>
    <n v="0.96472791835048854"/>
  </r>
  <r>
    <s v="AP-102"/>
    <x v="1"/>
    <s v="DoD"/>
    <s v="Missile Systems"/>
    <s v="Marcus Reed"/>
    <x v="14"/>
    <x v="5"/>
    <n v="78458.86"/>
    <n v="80177.759999999995"/>
    <n v="78438.05"/>
    <n v="78663.95"/>
    <n v="1718.8999999999942"/>
    <n v="2.1908296908723809E-2"/>
    <n v="-1739.7099999999919"/>
    <n v="0.97830183831526363"/>
  </r>
  <r>
    <s v="AP-102"/>
    <x v="1"/>
    <s v="DoD"/>
    <s v="Missile Systems"/>
    <s v="Marcus Reed"/>
    <x v="15"/>
    <x v="0"/>
    <n v="479609.41"/>
    <n v="527196.93000000005"/>
    <n v="480151.05"/>
    <n v="516884.2"/>
    <n v="47587.520000000077"/>
    <n v="9.9221406018701927E-2"/>
    <n v="-47045.880000000063"/>
    <n v="0.91076222693481912"/>
  </r>
  <r>
    <s v="AP-102"/>
    <x v="1"/>
    <s v="DoD"/>
    <s v="Missile Systems"/>
    <s v="Marcus Reed"/>
    <x v="15"/>
    <x v="1"/>
    <n v="358828.92"/>
    <n v="347248.73"/>
    <n v="364529"/>
    <n v="350918.78"/>
    <n v="-11580.190000000002"/>
    <n v="-3.2272175832427336E-2"/>
    <n v="17280.270000000019"/>
    <n v="1.0497633785442499"/>
  </r>
  <r>
    <s v="AP-102"/>
    <x v="1"/>
    <s v="DoD"/>
    <s v="Missile Systems"/>
    <s v="Marcus Reed"/>
    <x v="15"/>
    <x v="2"/>
    <n v="294442.59000000003"/>
    <n v="302549.33"/>
    <n v="301078.56"/>
    <n v="300038.49"/>
    <n v="8106.7399999999907"/>
    <n v="2.7532497931090711E-2"/>
    <n v="-1470.7700000000186"/>
    <n v="0.9951387431596691"/>
  </r>
  <r>
    <s v="AP-102"/>
    <x v="1"/>
    <s v="DoD"/>
    <s v="Missile Systems"/>
    <s v="Marcus Reed"/>
    <x v="15"/>
    <x v="3"/>
    <n v="209511.33"/>
    <n v="215541.42"/>
    <n v="215017.82"/>
    <n v="210989.14"/>
    <n v="6030.0900000000256"/>
    <n v="2.87816892766612E-2"/>
    <n v="-523.60000000000582"/>
    <n v="0.99757076853256321"/>
  </r>
  <r>
    <s v="AP-102"/>
    <x v="1"/>
    <s v="DoD"/>
    <s v="Missile Systems"/>
    <s v="Marcus Reed"/>
    <x v="15"/>
    <x v="4"/>
    <n v="50692.71"/>
    <n v="49094.84"/>
    <n v="50275.97"/>
    <n v="49735.57"/>
    <n v="-1597.8700000000026"/>
    <n v="-3.1520705837190452E-2"/>
    <n v="1181.1300000000047"/>
    <n v="1.0240581291231421"/>
  </r>
  <r>
    <s v="AP-102"/>
    <x v="1"/>
    <s v="DoD"/>
    <s v="Missile Systems"/>
    <s v="Marcus Reed"/>
    <x v="15"/>
    <x v="5"/>
    <n v="77250.98"/>
    <n v="78329.399999999994"/>
    <n v="78118.33"/>
    <n v="78546.320000000007"/>
    <n v="1078.4199999999983"/>
    <n v="1.3959952352707996E-2"/>
    <n v="-211.06999999999243"/>
    <n v="0.99730535405607612"/>
  </r>
  <r>
    <s v="AP-102"/>
    <x v="1"/>
    <s v="DoD"/>
    <s v="Missile Systems"/>
    <s v="Marcus Reed"/>
    <x v="16"/>
    <x v="0"/>
    <n v="455786.62"/>
    <n v="496548.18"/>
    <n v="463864.79"/>
    <n v="476858.75"/>
    <n v="40761.56"/>
    <n v="8.9431234291168962E-2"/>
    <n v="-32683.390000000014"/>
    <n v="0.93417881422906435"/>
  </r>
  <r>
    <s v="AP-102"/>
    <x v="1"/>
    <s v="DoD"/>
    <s v="Missile Systems"/>
    <s v="Marcus Reed"/>
    <x v="16"/>
    <x v="1"/>
    <n v="373064.58"/>
    <n v="379532.29"/>
    <n v="375759.73"/>
    <n v="383175.8"/>
    <n v="6467.7099999999627"/>
    <n v="1.7336703473698742E-2"/>
    <n v="-3772.5599999999977"/>
    <n v="0.9900599761880603"/>
  </r>
  <r>
    <s v="AP-102"/>
    <x v="1"/>
    <s v="DoD"/>
    <s v="Missile Systems"/>
    <s v="Marcus Reed"/>
    <x v="16"/>
    <x v="2"/>
    <n v="281593.88"/>
    <n v="289279.75"/>
    <n v="288097.93"/>
    <n v="289594.28999999998"/>
    <n v="7685.8699999999953"/>
    <n v="2.7294165626042709E-2"/>
    <n v="-1181.820000000007"/>
    <n v="0.99591461206669318"/>
  </r>
  <r>
    <s v="AP-102"/>
    <x v="1"/>
    <s v="DoD"/>
    <s v="Missile Systems"/>
    <s v="Marcus Reed"/>
    <x v="16"/>
    <x v="3"/>
    <n v="207963.73"/>
    <n v="215116.66"/>
    <n v="209080.11"/>
    <n v="214715.53"/>
    <n v="7152.929999999993"/>
    <n v="3.4395084181265613E-2"/>
    <n v="-6036.5500000000175"/>
    <n v="0.97193824969205078"/>
  </r>
  <r>
    <s v="AP-102"/>
    <x v="1"/>
    <s v="DoD"/>
    <s v="Missile Systems"/>
    <s v="Marcus Reed"/>
    <x v="16"/>
    <x v="4"/>
    <n v="48848.39"/>
    <n v="48736.53"/>
    <n v="49344.65"/>
    <n v="49383.67"/>
    <n v="-111.86000000000058"/>
    <n v="-2.2899424116127592E-3"/>
    <n v="608.12000000000262"/>
    <n v="1.0124777040958806"/>
  </r>
  <r>
    <s v="AP-102"/>
    <x v="1"/>
    <s v="DoD"/>
    <s v="Missile Systems"/>
    <s v="Marcus Reed"/>
    <x v="16"/>
    <x v="5"/>
    <n v="78742.509999999995"/>
    <n v="81105.87"/>
    <n v="80168.759999999995"/>
    <n v="79503.39"/>
    <n v="2363.3600000000006"/>
    <n v="3.0013775278436017E-2"/>
    <n v="-937.11000000000058"/>
    <n v="0.98844584245258693"/>
  </r>
  <r>
    <s v="AP-102"/>
    <x v="1"/>
    <s v="DoD"/>
    <s v="Missile Systems"/>
    <s v="Marcus Reed"/>
    <x v="17"/>
    <x v="0"/>
    <n v="479265.99"/>
    <n v="535655.9"/>
    <n v="477530.39"/>
    <n v="510971.72"/>
    <n v="56389.910000000033"/>
    <n v="0.11765890168839235"/>
    <n v="-58125.510000000009"/>
    <n v="0.89148722155398641"/>
  </r>
  <r>
    <s v="AP-102"/>
    <x v="1"/>
    <s v="DoD"/>
    <s v="Missile Systems"/>
    <s v="Marcus Reed"/>
    <x v="17"/>
    <x v="1"/>
    <n v="382899.58"/>
    <n v="377267.16"/>
    <n v="379563.12"/>
    <n v="376786.64"/>
    <n v="-5632.4200000000419"/>
    <n v="-1.4709914280919403E-2"/>
    <n v="2295.960000000021"/>
    <n v="1.0060857669138232"/>
  </r>
  <r>
    <s v="AP-102"/>
    <x v="1"/>
    <s v="DoD"/>
    <s v="Missile Systems"/>
    <s v="Marcus Reed"/>
    <x v="17"/>
    <x v="2"/>
    <n v="294687.95"/>
    <n v="296734.02"/>
    <n v="289852.81"/>
    <n v="299192.13"/>
    <n v="2046.070000000007"/>
    <n v="6.9431749754274201E-3"/>
    <n v="-6881.210000000021"/>
    <n v="0.97681017498431755"/>
  </r>
  <r>
    <s v="AP-102"/>
    <x v="1"/>
    <s v="DoD"/>
    <s v="Missile Systems"/>
    <s v="Marcus Reed"/>
    <x v="17"/>
    <x v="3"/>
    <n v="217459.09"/>
    <n v="218801.48"/>
    <n v="221025.37"/>
    <n v="221537"/>
    <n v="1342.390000000014"/>
    <n v="6.1730691506159344E-3"/>
    <n v="2223.8899999999849"/>
    <n v="1.0101639623278598"/>
  </r>
  <r>
    <s v="AP-102"/>
    <x v="1"/>
    <s v="DoD"/>
    <s v="Missile Systems"/>
    <s v="Marcus Reed"/>
    <x v="17"/>
    <x v="4"/>
    <n v="49196.59"/>
    <n v="50651.8"/>
    <n v="47896.87"/>
    <n v="49875.46"/>
    <n v="1455.2100000000064"/>
    <n v="2.9579489147520316E-2"/>
    <n v="-2754.9300000000003"/>
    <n v="0.94561042253187444"/>
  </r>
  <r>
    <s v="AP-102"/>
    <x v="1"/>
    <s v="DoD"/>
    <s v="Missile Systems"/>
    <s v="Marcus Reed"/>
    <x v="17"/>
    <x v="5"/>
    <n v="75467.89"/>
    <n v="74773.56"/>
    <n v="76229.119999999995"/>
    <n v="74909.06"/>
    <n v="-694.33000000000175"/>
    <n v="-9.2003367259903754E-3"/>
    <n v="1455.5599999999977"/>
    <n v="1.0194662391358655"/>
  </r>
  <r>
    <s v="AP-102"/>
    <x v="1"/>
    <s v="DoD"/>
    <s v="Missile Systems"/>
    <s v="Marcus Reed"/>
    <x v="18"/>
    <x v="0"/>
    <n v="456646.32"/>
    <n v="510914.1"/>
    <n v="443326.16"/>
    <n v="497608.89"/>
    <n v="54267.77999999997"/>
    <n v="0.11883984962366492"/>
    <n v="-67587.94"/>
    <n v="0.86771173471235186"/>
  </r>
  <r>
    <s v="AP-102"/>
    <x v="1"/>
    <s v="DoD"/>
    <s v="Missile Systems"/>
    <s v="Marcus Reed"/>
    <x v="18"/>
    <x v="1"/>
    <n v="357638.95"/>
    <n v="369618.78"/>
    <n v="356459.79"/>
    <n v="367539.7"/>
    <n v="11979.830000000016"/>
    <n v="3.3496994664591245E-2"/>
    <n v="-13158.990000000049"/>
    <n v="0.96439848105120618"/>
  </r>
  <r>
    <s v="AP-102"/>
    <x v="1"/>
    <s v="DoD"/>
    <s v="Missile Systems"/>
    <s v="Marcus Reed"/>
    <x v="18"/>
    <x v="2"/>
    <n v="296454.28000000003"/>
    <n v="291696.01"/>
    <n v="295936.07"/>
    <n v="298503.78999999998"/>
    <n v="-4758.2700000000186"/>
    <n v="-1.6050603148654214E-2"/>
    <n v="4240.0599999999977"/>
    <n v="1.0145358861782168"/>
  </r>
  <r>
    <s v="AP-102"/>
    <x v="1"/>
    <s v="DoD"/>
    <s v="Missile Systems"/>
    <s v="Marcus Reed"/>
    <x v="18"/>
    <x v="3"/>
    <n v="219334.73"/>
    <n v="216977.51"/>
    <n v="215092.01"/>
    <n v="215974.71"/>
    <n v="-2357.2200000000012"/>
    <n v="-1.0747135212011344E-2"/>
    <n v="-1885.5"/>
    <n v="0.99131015928793731"/>
  </r>
  <r>
    <s v="AP-102"/>
    <x v="1"/>
    <s v="DoD"/>
    <s v="Missile Systems"/>
    <s v="Marcus Reed"/>
    <x v="18"/>
    <x v="4"/>
    <n v="52661.11"/>
    <n v="52057.61"/>
    <n v="51782.720000000001"/>
    <n v="52298.3"/>
    <n v="-603.5"/>
    <n v="-1.146006986939698E-2"/>
    <n v="-274.88999999999942"/>
    <n v="0.99471950402640463"/>
  </r>
  <r>
    <s v="AP-102"/>
    <x v="1"/>
    <s v="DoD"/>
    <s v="Missile Systems"/>
    <s v="Marcus Reed"/>
    <x v="18"/>
    <x v="5"/>
    <n v="81580.33"/>
    <n v="80282.69"/>
    <n v="83953.85"/>
    <n v="80439.72"/>
    <n v="-1297.6399999999994"/>
    <n v="-1.5906285252829933E-2"/>
    <n v="3671.1600000000035"/>
    <n v="1.0457279146974274"/>
  </r>
  <r>
    <s v="AP-102"/>
    <x v="1"/>
    <s v="DoD"/>
    <s v="Missile Systems"/>
    <s v="Marcus Reed"/>
    <x v="19"/>
    <x v="0"/>
    <n v="463345.3"/>
    <n v="535847.99"/>
    <n v="466936.87"/>
    <n v="506977.07"/>
    <n v="72502.69"/>
    <n v="0.15647658452562269"/>
    <n v="-68911.12"/>
    <n v="0.87139800599046757"/>
  </r>
  <r>
    <s v="AP-102"/>
    <x v="1"/>
    <s v="DoD"/>
    <s v="Missile Systems"/>
    <s v="Marcus Reed"/>
    <x v="19"/>
    <x v="1"/>
    <n v="375332.79"/>
    <n v="373774.39"/>
    <n v="385603.23"/>
    <n v="373923.15"/>
    <n v="-1558.3999999999651"/>
    <n v="-4.1520486392887896E-3"/>
    <n v="11828.839999999967"/>
    <n v="1.0316470050288891"/>
  </r>
  <r>
    <s v="AP-102"/>
    <x v="1"/>
    <s v="DoD"/>
    <s v="Missile Systems"/>
    <s v="Marcus Reed"/>
    <x v="19"/>
    <x v="2"/>
    <n v="294641.34999999998"/>
    <n v="295903.13"/>
    <n v="293095.31"/>
    <n v="299960.17"/>
    <n v="1261.7800000000279"/>
    <n v="4.2824267537466413E-3"/>
    <n v="-2807.820000000007"/>
    <n v="0.99051101622345117"/>
  </r>
  <r>
    <s v="AP-102"/>
    <x v="1"/>
    <s v="DoD"/>
    <s v="Missile Systems"/>
    <s v="Marcus Reed"/>
    <x v="19"/>
    <x v="3"/>
    <n v="213632.63"/>
    <n v="215520.14"/>
    <n v="207450.05"/>
    <n v="214667.72"/>
    <n v="1887.5100000000093"/>
    <n v="8.8353076025886549E-3"/>
    <n v="-8070.0900000000256"/>
    <n v="0.96255528601642504"/>
  </r>
  <r>
    <s v="AP-102"/>
    <x v="1"/>
    <s v="DoD"/>
    <s v="Missile Systems"/>
    <s v="Marcus Reed"/>
    <x v="19"/>
    <x v="4"/>
    <n v="51783.16"/>
    <n v="51623.21"/>
    <n v="52153.96"/>
    <n v="52333.52"/>
    <n v="-159.95000000000437"/>
    <n v="-3.0888420096418286E-3"/>
    <n v="530.75"/>
    <n v="1.0102812281529956"/>
  </r>
  <r>
    <s v="AP-102"/>
    <x v="1"/>
    <s v="DoD"/>
    <s v="Missile Systems"/>
    <s v="Marcus Reed"/>
    <x v="19"/>
    <x v="5"/>
    <n v="78491.149999999994"/>
    <n v="79174.28"/>
    <n v="78384.84"/>
    <n v="80298.539999999994"/>
    <n v="683.13000000000466"/>
    <n v="8.7032741907846264E-3"/>
    <n v="-789.44000000000233"/>
    <n v="0.99002908520292188"/>
  </r>
  <r>
    <s v="AP-102"/>
    <x v="1"/>
    <s v="DoD"/>
    <s v="Missile Systems"/>
    <s v="Marcus Reed"/>
    <x v="20"/>
    <x v="0"/>
    <n v="480725.94"/>
    <n v="531706.59"/>
    <n v="487565.14"/>
    <n v="516837.8"/>
    <n v="50980.649999999965"/>
    <n v="0.10604930118811555"/>
    <n v="-44141.449999999953"/>
    <n v="0.91698156308350443"/>
  </r>
  <r>
    <s v="AP-102"/>
    <x v="1"/>
    <s v="DoD"/>
    <s v="Missile Systems"/>
    <s v="Marcus Reed"/>
    <x v="20"/>
    <x v="1"/>
    <n v="394319.06"/>
    <n v="385357.38"/>
    <n v="393876.14"/>
    <n v="394122.74"/>
    <n v="-8961.679999999993"/>
    <n v="-2.2726976474330186E-2"/>
    <n v="8518.7600000000093"/>
    <n v="1.0221061291209734"/>
  </r>
  <r>
    <s v="AP-102"/>
    <x v="1"/>
    <s v="DoD"/>
    <s v="Missile Systems"/>
    <s v="Marcus Reed"/>
    <x v="20"/>
    <x v="2"/>
    <n v="309093.27"/>
    <n v="314011.21000000002"/>
    <n v="300398.53000000003"/>
    <n v="314418.68"/>
    <n v="4917.9400000000023"/>
    <n v="1.5910860822042492E-2"/>
    <n v="-13612.679999999993"/>
    <n v="0.95664906357960922"/>
  </r>
  <r>
    <s v="AP-102"/>
    <x v="1"/>
    <s v="DoD"/>
    <s v="Missile Systems"/>
    <s v="Marcus Reed"/>
    <x v="20"/>
    <x v="3"/>
    <n v="214569.36"/>
    <n v="214207.59"/>
    <n v="216913.93"/>
    <n v="213700.23"/>
    <n v="-361.76999999998952"/>
    <n v="-1.6860282381416878E-3"/>
    <n v="2706.3399999999965"/>
    <n v="1.0126341928406926"/>
  </r>
  <r>
    <s v="AP-102"/>
    <x v="1"/>
    <s v="DoD"/>
    <s v="Missile Systems"/>
    <s v="Marcus Reed"/>
    <x v="20"/>
    <x v="4"/>
    <n v="53269.52"/>
    <n v="54559.65"/>
    <n v="52124.07"/>
    <n v="54927.1"/>
    <n v="1290.1300000000047"/>
    <n v="2.4218915432314855E-2"/>
    <n v="-2435.5800000000017"/>
    <n v="0.95535931773755878"/>
  </r>
  <r>
    <s v="AP-102"/>
    <x v="1"/>
    <s v="DoD"/>
    <s v="Missile Systems"/>
    <s v="Marcus Reed"/>
    <x v="20"/>
    <x v="5"/>
    <n v="82671.88"/>
    <n v="84872.61"/>
    <n v="82023.41"/>
    <n v="84896.59"/>
    <n v="2200.7299999999959"/>
    <n v="2.6620055090074108E-2"/>
    <n v="-2849.1999999999971"/>
    <n v="0.96642968797589712"/>
  </r>
  <r>
    <s v="AP-102"/>
    <x v="1"/>
    <s v="DoD"/>
    <s v="Missile Systems"/>
    <s v="Marcus Reed"/>
    <x v="21"/>
    <x v="0"/>
    <n v="478842.96"/>
    <n v="543335.09"/>
    <n v="465739.12"/>
    <n v="526195.30000000005"/>
    <n v="64492.129999999946"/>
    <n v="0.13468325816046234"/>
    <n v="-77595.969999999972"/>
    <n v="0.85718579302507414"/>
  </r>
  <r>
    <s v="AP-102"/>
    <x v="1"/>
    <s v="DoD"/>
    <s v="Missile Systems"/>
    <s v="Marcus Reed"/>
    <x v="21"/>
    <x v="1"/>
    <n v="368312.22"/>
    <n v="374175.81"/>
    <n v="363653.19"/>
    <n v="373806.82"/>
    <n v="5863.5900000000256"/>
    <n v="1.5920161432602008E-2"/>
    <n v="-10522.619999999995"/>
    <n v="0.97187787206233345"/>
  </r>
  <r>
    <s v="AP-102"/>
    <x v="1"/>
    <s v="DoD"/>
    <s v="Missile Systems"/>
    <s v="Marcus Reed"/>
    <x v="21"/>
    <x v="2"/>
    <n v="301735.43"/>
    <n v="305222.64"/>
    <n v="297545.63"/>
    <n v="302662.34999999998"/>
    <n v="3487.210000000021"/>
    <n v="1.1557177756685785E-2"/>
    <n v="-7677.0100000000093"/>
    <n v="0.97484783566513933"/>
  </r>
  <r>
    <s v="AP-102"/>
    <x v="1"/>
    <s v="DoD"/>
    <s v="Missile Systems"/>
    <s v="Marcus Reed"/>
    <x v="21"/>
    <x v="3"/>
    <n v="225532.54"/>
    <n v="223817.86"/>
    <n v="222153.13"/>
    <n v="228397.04"/>
    <n v="-1714.6800000000221"/>
    <n v="-7.6028053424132148E-3"/>
    <n v="-1664.7299999999814"/>
    <n v="0.99256212171807923"/>
  </r>
  <r>
    <s v="AP-102"/>
    <x v="1"/>
    <s v="DoD"/>
    <s v="Missile Systems"/>
    <s v="Marcus Reed"/>
    <x v="21"/>
    <x v="4"/>
    <n v="53028.92"/>
    <n v="53231.08"/>
    <n v="52855.56"/>
    <n v="53123.98"/>
    <n v="202.16000000000349"/>
    <n v="3.8122594237258367E-3"/>
    <n v="-375.52000000000407"/>
    <n v="0.99294547471139039"/>
  </r>
  <r>
    <s v="AP-102"/>
    <x v="1"/>
    <s v="DoD"/>
    <s v="Missile Systems"/>
    <s v="Marcus Reed"/>
    <x v="21"/>
    <x v="5"/>
    <n v="78047.429999999993"/>
    <n v="75957.84"/>
    <n v="79032.84"/>
    <n v="77950.289999999994"/>
    <n v="-2089.5899999999965"/>
    <n v="-2.6773335137364507E-2"/>
    <n v="3075"/>
    <n v="1.0404829837183365"/>
  </r>
  <r>
    <s v="AP-102"/>
    <x v="1"/>
    <s v="DoD"/>
    <s v="Missile Systems"/>
    <s v="Marcus Reed"/>
    <x v="22"/>
    <x v="0"/>
    <n v="501870.79"/>
    <n v="575713.68000000005"/>
    <n v="491659.8"/>
    <n v="558154.41"/>
    <n v="73842.890000000072"/>
    <n v="0.14713526164772425"/>
    <n v="-84053.880000000063"/>
    <n v="0.85400055110727946"/>
  </r>
  <r>
    <s v="AP-102"/>
    <x v="1"/>
    <s v="DoD"/>
    <s v="Missile Systems"/>
    <s v="Marcus Reed"/>
    <x v="22"/>
    <x v="1"/>
    <n v="373074.32"/>
    <n v="377020.88"/>
    <n v="381872.92"/>
    <n v="378997.47"/>
    <n v="3946.5599999999977"/>
    <n v="1.0578482056872738E-2"/>
    <n v="4852.039999999979"/>
    <n v="1.0128694198581256"/>
  </r>
  <r>
    <s v="AP-102"/>
    <x v="1"/>
    <s v="DoD"/>
    <s v="Missile Systems"/>
    <s v="Marcus Reed"/>
    <x v="22"/>
    <x v="2"/>
    <n v="309912.03000000003"/>
    <n v="317919.01"/>
    <n v="306592.95"/>
    <n v="317209.24"/>
    <n v="8006.9799999999814"/>
    <n v="2.5836299416966746E-2"/>
    <n v="-11326.059999999998"/>
    <n v="0.96437438579089685"/>
  </r>
  <r>
    <s v="AP-102"/>
    <x v="1"/>
    <s v="DoD"/>
    <s v="Missile Systems"/>
    <s v="Marcus Reed"/>
    <x v="22"/>
    <x v="3"/>
    <n v="227432.64"/>
    <n v="220169.42"/>
    <n v="226816.36"/>
    <n v="224081"/>
    <n v="-7263.2200000000012"/>
    <n v="-3.1935697532245157E-2"/>
    <n v="6646.9399999999732"/>
    <n v="1.0301901145036398"/>
  </r>
  <r>
    <s v="AP-102"/>
    <x v="1"/>
    <s v="DoD"/>
    <s v="Missile Systems"/>
    <s v="Marcus Reed"/>
    <x v="22"/>
    <x v="4"/>
    <n v="52580.33"/>
    <n v="51500.62"/>
    <n v="51796.19"/>
    <n v="51918.35"/>
    <n v="-1079.7099999999991"/>
    <n v="-2.0534485044121996E-2"/>
    <n v="295.56999999999971"/>
    <n v="1.0057391542082406"/>
  </r>
  <r>
    <s v="AP-102"/>
    <x v="1"/>
    <s v="DoD"/>
    <s v="Missile Systems"/>
    <s v="Marcus Reed"/>
    <x v="22"/>
    <x v="5"/>
    <n v="79813.78"/>
    <n v="80404.679999999993"/>
    <n v="79135.14"/>
    <n v="80858.929999999993"/>
    <n v="590.89999999999418"/>
    <n v="7.4034834586207314E-3"/>
    <n v="-1269.5399999999936"/>
    <n v="0.98421062057581732"/>
  </r>
  <r>
    <s v="AP-102"/>
    <x v="1"/>
    <s v="DoD"/>
    <s v="Missile Systems"/>
    <s v="Marcus Reed"/>
    <x v="23"/>
    <x v="0"/>
    <n v="482497.75"/>
    <n v="553368.68999999994"/>
    <n v="481354.63"/>
    <n v="533951.04"/>
    <n v="70870.939999999944"/>
    <n v="0.14688346215085965"/>
    <n v="-72014.059999999939"/>
    <n v="0.86986242391126256"/>
  </r>
  <r>
    <s v="AP-102"/>
    <x v="1"/>
    <s v="DoD"/>
    <s v="Missile Systems"/>
    <s v="Marcus Reed"/>
    <x v="23"/>
    <x v="1"/>
    <n v="390304.35"/>
    <n v="393502.59"/>
    <n v="390349.62"/>
    <n v="391225.93"/>
    <n v="3198.2400000000489"/>
    <n v="8.194220740814313E-3"/>
    <n v="-3152.9700000000303"/>
    <n v="0.99198742249701577"/>
  </r>
  <r>
    <s v="AP-102"/>
    <x v="1"/>
    <s v="DoD"/>
    <s v="Missile Systems"/>
    <s v="Marcus Reed"/>
    <x v="23"/>
    <x v="2"/>
    <n v="294837.65000000002"/>
    <n v="291107.63"/>
    <n v="301883.28000000003"/>
    <n v="296749.39"/>
    <n v="-3730.0200000000186"/>
    <n v="-1.2651097985620283E-2"/>
    <n v="10775.650000000023"/>
    <n v="1.0370160342413561"/>
  </r>
  <r>
    <s v="AP-102"/>
    <x v="1"/>
    <s v="DoD"/>
    <s v="Missile Systems"/>
    <s v="Marcus Reed"/>
    <x v="23"/>
    <x v="3"/>
    <n v="226318.11"/>
    <n v="231510.18"/>
    <n v="221802.43"/>
    <n v="232805.79"/>
    <n v="5192.070000000007"/>
    <n v="2.2941469421072877E-2"/>
    <n v="-9707.75"/>
    <n v="0.95806771866360263"/>
  </r>
  <r>
    <s v="AP-102"/>
    <x v="1"/>
    <s v="DoD"/>
    <s v="Missile Systems"/>
    <s v="Marcus Reed"/>
    <x v="23"/>
    <x v="4"/>
    <n v="54602.13"/>
    <n v="52788.27"/>
    <n v="56047.13"/>
    <n v="54369.09"/>
    <n v="-1813.8600000000006"/>
    <n v="-3.3219583192084276E-2"/>
    <n v="3258.8600000000006"/>
    <n v="1.0617345482244445"/>
  </r>
  <r>
    <s v="AP-102"/>
    <x v="1"/>
    <s v="DoD"/>
    <s v="Missile Systems"/>
    <s v="Marcus Reed"/>
    <x v="23"/>
    <x v="5"/>
    <n v="83341.429999999993"/>
    <n v="81536.320000000007"/>
    <n v="85477.4"/>
    <n v="83512.320000000007"/>
    <n v="-1805.109999999986"/>
    <n v="-2.1659215590613051E-2"/>
    <n v="3941.0799999999872"/>
    <n v="1.0483352694848134"/>
  </r>
  <r>
    <s v="AP-103"/>
    <x v="2"/>
    <s v="NASA"/>
    <s v="Space Systems"/>
    <s v="Elena Torres"/>
    <x v="0"/>
    <x v="0"/>
    <n v="568351.89"/>
    <n v="582072.51"/>
    <n v="560420.37"/>
    <n v="579527.55000000005"/>
    <n v="13720.619999999995"/>
    <n v="2.4141065141878908E-2"/>
    <n v="-21652.140000000014"/>
    <n v="0.96280164476415486"/>
  </r>
  <r>
    <s v="AP-103"/>
    <x v="2"/>
    <s v="NASA"/>
    <s v="Space Systems"/>
    <s v="Elena Torres"/>
    <x v="0"/>
    <x v="1"/>
    <n v="438938.32"/>
    <n v="439062.95"/>
    <n v="443939.2"/>
    <n v="444583.67"/>
    <n v="124.63000000000466"/>
    <n v="2.8393510960721011E-4"/>
    <n v="4876.25"/>
    <n v="1.0111060384393626"/>
  </r>
  <r>
    <s v="AP-103"/>
    <x v="2"/>
    <s v="NASA"/>
    <s v="Space Systems"/>
    <s v="Elena Torres"/>
    <x v="0"/>
    <x v="2"/>
    <n v="350064.62"/>
    <n v="361112.19"/>
    <n v="355070.6"/>
    <n v="360866.14"/>
    <n v="11047.570000000007"/>
    <n v="3.1558659084142827E-2"/>
    <n v="-6041.5900000000256"/>
    <n v="0.98326949306252986"/>
  </r>
  <r>
    <s v="AP-103"/>
    <x v="2"/>
    <s v="NASA"/>
    <s v="Space Systems"/>
    <s v="Elena Torres"/>
    <x v="0"/>
    <x v="3"/>
    <n v="242654.28"/>
    <n v="250377.88"/>
    <n v="237170.02"/>
    <n v="247843.9"/>
    <n v="7723.6000000000058"/>
    <n v="3.1829646689108496E-2"/>
    <n v="-13207.860000000015"/>
    <n v="0.94724829525675347"/>
  </r>
  <r>
    <s v="AP-103"/>
    <x v="2"/>
    <s v="NASA"/>
    <s v="Space Systems"/>
    <s v="Elena Torres"/>
    <x v="0"/>
    <x v="4"/>
    <n v="61163.88"/>
    <n v="61678.73"/>
    <n v="60145.440000000002"/>
    <n v="61655.01"/>
    <n v="514.85000000000582"/>
    <n v="8.4175497041719047E-3"/>
    <n v="-1533.2900000000009"/>
    <n v="0.97514070085424909"/>
  </r>
  <r>
    <s v="AP-103"/>
    <x v="2"/>
    <s v="NASA"/>
    <s v="Space Systems"/>
    <s v="Elena Torres"/>
    <x v="0"/>
    <x v="5"/>
    <n v="93900.93"/>
    <n v="90825.87"/>
    <n v="91864.2"/>
    <n v="91598.18"/>
    <n v="-3075.0599999999977"/>
    <n v="-3.274791847109499E-2"/>
    <n v="1038.3300000000017"/>
    <n v="1.0114320952829849"/>
  </r>
  <r>
    <s v="AP-103"/>
    <x v="2"/>
    <s v="NASA"/>
    <s v="Space Systems"/>
    <s v="Elena Torres"/>
    <x v="1"/>
    <x v="0"/>
    <n v="576381.12"/>
    <n v="591077.27"/>
    <n v="562050.81999999995"/>
    <n v="594977.21"/>
    <n v="14696.150000000023"/>
    <n v="2.5497278606211152E-2"/>
    <n v="-29026.45000000007"/>
    <n v="0.95089229196717362"/>
  </r>
  <r>
    <s v="AP-103"/>
    <x v="2"/>
    <s v="NASA"/>
    <s v="Space Systems"/>
    <s v="Elena Torres"/>
    <x v="1"/>
    <x v="1"/>
    <n v="452819.88"/>
    <n v="459302.24"/>
    <n v="455571.25"/>
    <n v="463124.76"/>
    <n v="6482.359999999986"/>
    <n v="1.4315537559879186E-2"/>
    <n v="-3730.9899999999907"/>
    <n v="0.99187683038515118"/>
  </r>
  <r>
    <s v="AP-103"/>
    <x v="2"/>
    <s v="NASA"/>
    <s v="Space Systems"/>
    <s v="Elena Torres"/>
    <x v="1"/>
    <x v="2"/>
    <n v="342384.9"/>
    <n v="337017.81"/>
    <n v="335806.27"/>
    <n v="343142.43"/>
    <n v="-5367.0900000000256"/>
    <n v="-1.5675603684625183E-2"/>
    <n v="-1211.539999999979"/>
    <n v="0.99640511580085345"/>
  </r>
  <r>
    <s v="AP-103"/>
    <x v="2"/>
    <s v="NASA"/>
    <s v="Space Systems"/>
    <s v="Elena Torres"/>
    <x v="1"/>
    <x v="3"/>
    <n v="245342.37"/>
    <n v="236908.01"/>
    <n v="242752.96"/>
    <n v="237296.46"/>
    <n v="-8434.359999999986"/>
    <n v="-3.4377918498137872E-2"/>
    <n v="5844.9499999999825"/>
    <n v="1.0246718124895819"/>
  </r>
  <r>
    <s v="AP-103"/>
    <x v="2"/>
    <s v="NASA"/>
    <s v="Space Systems"/>
    <s v="Elena Torres"/>
    <x v="1"/>
    <x v="4"/>
    <n v="59308.94"/>
    <n v="59892.27"/>
    <n v="60133.18"/>
    <n v="60632.58"/>
    <n v="583.32999999999447"/>
    <n v="9.8354480791596425E-3"/>
    <n v="240.91000000000349"/>
    <n v="1.0040223888658755"/>
  </r>
  <r>
    <s v="AP-103"/>
    <x v="2"/>
    <s v="NASA"/>
    <s v="Space Systems"/>
    <s v="Elena Torres"/>
    <x v="1"/>
    <x v="5"/>
    <n v="89472.67"/>
    <n v="91329.97"/>
    <n v="92147.1"/>
    <n v="91351.52"/>
    <n v="1857.3000000000029"/>
    <n v="2.075829412489873E-2"/>
    <n v="817.13000000000466"/>
    <n v="1.008947008304065"/>
  </r>
  <r>
    <s v="AP-103"/>
    <x v="2"/>
    <s v="NASA"/>
    <s v="Space Systems"/>
    <s v="Elena Torres"/>
    <x v="2"/>
    <x v="0"/>
    <n v="545486.32999999996"/>
    <n v="558978.13"/>
    <n v="546996.34"/>
    <n v="549881.81000000006"/>
    <n v="13491.800000000047"/>
    <n v="2.4733525402918982E-2"/>
    <n v="-11981.790000000037"/>
    <n v="0.97856483222340018"/>
  </r>
  <r>
    <s v="AP-103"/>
    <x v="2"/>
    <s v="NASA"/>
    <s v="Space Systems"/>
    <s v="Elena Torres"/>
    <x v="2"/>
    <x v="1"/>
    <n v="440455.33"/>
    <n v="455400.46"/>
    <n v="431679.58"/>
    <n v="449242.93"/>
    <n v="14945.130000000005"/>
    <n v="3.3931091264124344E-2"/>
    <n v="-23720.880000000005"/>
    <n v="0.94791204207391444"/>
  </r>
  <r>
    <s v="AP-103"/>
    <x v="2"/>
    <s v="NASA"/>
    <s v="Space Systems"/>
    <s v="Elena Torres"/>
    <x v="2"/>
    <x v="2"/>
    <n v="356469.37"/>
    <n v="355930.48"/>
    <n v="351801.04"/>
    <n v="356511.63"/>
    <n v="-538.89000000001397"/>
    <n v="-1.5117427901309276E-3"/>
    <n v="-4129.4400000000023"/>
    <n v="0.98839818382511102"/>
  </r>
  <r>
    <s v="AP-103"/>
    <x v="2"/>
    <s v="NASA"/>
    <s v="Space Systems"/>
    <s v="Elena Torres"/>
    <x v="2"/>
    <x v="3"/>
    <n v="248585.14"/>
    <n v="248899.82"/>
    <n v="244457.53"/>
    <n v="252988.73"/>
    <n v="314.67999999999302"/>
    <n v="1.2658841956522139E-3"/>
    <n v="-4442.2900000000081"/>
    <n v="0.98215229725758735"/>
  </r>
  <r>
    <s v="AP-103"/>
    <x v="2"/>
    <s v="NASA"/>
    <s v="Space Systems"/>
    <s v="Elena Torres"/>
    <x v="2"/>
    <x v="4"/>
    <n v="58332.87"/>
    <n v="56912.14"/>
    <n v="57848.6"/>
    <n v="57516.79"/>
    <n v="-1420.7300000000032"/>
    <n v="-2.435556488134397E-2"/>
    <n v="936.45999999999913"/>
    <n v="1.0164544858091789"/>
  </r>
  <r>
    <s v="AP-103"/>
    <x v="2"/>
    <s v="NASA"/>
    <s v="Space Systems"/>
    <s v="Elena Torres"/>
    <x v="2"/>
    <x v="5"/>
    <n v="90671.49"/>
    <n v="90791.69"/>
    <n v="89235.86"/>
    <n v="92243.55"/>
    <n v="120.19999999999709"/>
    <n v="1.3256647707013205E-3"/>
    <n v="-1555.8300000000017"/>
    <n v="0.98286374006255417"/>
  </r>
  <r>
    <s v="AP-103"/>
    <x v="2"/>
    <s v="NASA"/>
    <s v="Space Systems"/>
    <s v="Elena Torres"/>
    <x v="3"/>
    <x v="0"/>
    <n v="572609.06000000006"/>
    <n v="570619.92000000004"/>
    <n v="562260.19999999995"/>
    <n v="581415.63"/>
    <n v="-1989.140000000014"/>
    <n v="-3.4738185944875092E-3"/>
    <n v="-8359.7200000000885"/>
    <n v="0.98534975785633261"/>
  </r>
  <r>
    <s v="AP-103"/>
    <x v="2"/>
    <s v="NASA"/>
    <s v="Space Systems"/>
    <s v="Elena Torres"/>
    <x v="3"/>
    <x v="1"/>
    <n v="445387.46"/>
    <n v="451730.25"/>
    <n v="446534.21"/>
    <n v="453900.83"/>
    <n v="6342.789999999979"/>
    <n v="1.4241061030321731E-2"/>
    <n v="-5196.039999999979"/>
    <n v="0.98849747166588919"/>
  </r>
  <r>
    <s v="AP-103"/>
    <x v="2"/>
    <s v="NASA"/>
    <s v="Space Systems"/>
    <s v="Elena Torres"/>
    <x v="3"/>
    <x v="2"/>
    <n v="356783.89"/>
    <n v="364955.43"/>
    <n v="364043.04"/>
    <n v="365443.13"/>
    <n v="8171.539999999979"/>
    <n v="2.2903332322543987E-2"/>
    <n v="-912.39000000001397"/>
    <n v="0.99749999609541362"/>
  </r>
  <r>
    <s v="AP-103"/>
    <x v="2"/>
    <s v="NASA"/>
    <s v="Space Systems"/>
    <s v="Elena Torres"/>
    <x v="3"/>
    <x v="3"/>
    <n v="263981.31"/>
    <n v="257421.08"/>
    <n v="261608.59"/>
    <n v="264243.84999999998"/>
    <n v="-6560.2300000000105"/>
    <n v="-2.4851115406617275E-2"/>
    <n v="4187.5100000000093"/>
    <n v="1.0162671604050453"/>
  </r>
  <r>
    <s v="AP-103"/>
    <x v="2"/>
    <s v="NASA"/>
    <s v="Space Systems"/>
    <s v="Elena Torres"/>
    <x v="3"/>
    <x v="4"/>
    <n v="62560.38"/>
    <n v="63569.120000000003"/>
    <n v="63146.77"/>
    <n v="63312.09"/>
    <n v="1008.7400000000052"/>
    <n v="1.6124262672317612E-2"/>
    <n v="-422.35000000000582"/>
    <n v="0.99335605086243117"/>
  </r>
  <r>
    <s v="AP-103"/>
    <x v="2"/>
    <s v="NASA"/>
    <s v="Space Systems"/>
    <s v="Elena Torres"/>
    <x v="3"/>
    <x v="5"/>
    <n v="94131.12"/>
    <n v="97012.34"/>
    <n v="94332.37"/>
    <n v="97190.5"/>
    <n v="2881.2200000000012"/>
    <n v="3.0608580881646807E-2"/>
    <n v="-2679.9700000000012"/>
    <n v="0.97237495766002546"/>
  </r>
  <r>
    <s v="AP-103"/>
    <x v="2"/>
    <s v="NASA"/>
    <s v="Space Systems"/>
    <s v="Elena Torres"/>
    <x v="4"/>
    <x v="0"/>
    <n v="565139"/>
    <n v="579445.27"/>
    <n v="564354.18999999994"/>
    <n v="577945.75"/>
    <n v="14306.270000000019"/>
    <n v="2.5314604017772652E-2"/>
    <n v="-15091.080000000075"/>
    <n v="0.97395598724966714"/>
  </r>
  <r>
    <s v="AP-103"/>
    <x v="2"/>
    <s v="NASA"/>
    <s v="Space Systems"/>
    <s v="Elena Torres"/>
    <x v="4"/>
    <x v="1"/>
    <n v="450761.23"/>
    <n v="435206.5"/>
    <n v="449715.65"/>
    <n v="438061.62"/>
    <n v="-15554.729999999981"/>
    <n v="-3.4507692686879886E-2"/>
    <n v="14509.150000000023"/>
    <n v="1.0333385415888781"/>
  </r>
  <r>
    <s v="AP-103"/>
    <x v="2"/>
    <s v="NASA"/>
    <s v="Space Systems"/>
    <s v="Elena Torres"/>
    <x v="4"/>
    <x v="2"/>
    <n v="362363.54"/>
    <n v="371636.47999999998"/>
    <n v="358564.48"/>
    <n v="367356.47"/>
    <n v="9272.9400000000023"/>
    <n v="2.559015733205389E-2"/>
    <n v="-13072"/>
    <n v="0.96482584271597882"/>
  </r>
  <r>
    <s v="AP-103"/>
    <x v="2"/>
    <s v="NASA"/>
    <s v="Space Systems"/>
    <s v="Elena Torres"/>
    <x v="4"/>
    <x v="3"/>
    <n v="248847.26"/>
    <n v="253287.27"/>
    <n v="253080.3"/>
    <n v="255421.52"/>
    <n v="4440.0099999999802"/>
    <n v="1.7842310178540766E-2"/>
    <n v="-206.97000000000116"/>
    <n v="0.99918286457902128"/>
  </r>
  <r>
    <s v="AP-103"/>
    <x v="2"/>
    <s v="NASA"/>
    <s v="Space Systems"/>
    <s v="Elena Torres"/>
    <x v="4"/>
    <x v="4"/>
    <n v="61870.5"/>
    <n v="59916.33"/>
    <n v="63664.37"/>
    <n v="61131.56"/>
    <n v="-1954.1699999999983"/>
    <n v="-3.1584842534002441E-2"/>
    <n v="3748.0400000000009"/>
    <n v="1.0625545656751674"/>
  </r>
  <r>
    <s v="AP-103"/>
    <x v="2"/>
    <s v="NASA"/>
    <s v="Space Systems"/>
    <s v="Elena Torres"/>
    <x v="4"/>
    <x v="5"/>
    <n v="91715.36"/>
    <n v="93347.89"/>
    <n v="93604.12"/>
    <n v="92998.03"/>
    <n v="1632.5299999999988"/>
    <n v="1.7799962841556733E-2"/>
    <n v="256.22999999999593"/>
    <n v="1.0027448933232448"/>
  </r>
  <r>
    <s v="AP-103"/>
    <x v="2"/>
    <s v="NASA"/>
    <s v="Space Systems"/>
    <s v="Elena Torres"/>
    <x v="5"/>
    <x v="0"/>
    <n v="555470.68000000005"/>
    <n v="557455.25"/>
    <n v="571136.42000000004"/>
    <n v="561476.06999999995"/>
    <n v="1984.5699999999488"/>
    <n v="3.5727718337895866E-3"/>
    <n v="13681.170000000042"/>
    <n v="1.0245421852247334"/>
  </r>
  <r>
    <s v="AP-103"/>
    <x v="2"/>
    <s v="NASA"/>
    <s v="Space Systems"/>
    <s v="Elena Torres"/>
    <x v="5"/>
    <x v="1"/>
    <n v="438062.3"/>
    <n v="493943.99"/>
    <n v="426317.43"/>
    <n v="472777.49"/>
    <n v="55881.69"/>
    <n v="0.12756562251533629"/>
    <n v="-67626.559999999998"/>
    <n v="0.86308860646325503"/>
  </r>
  <r>
    <s v="AP-103"/>
    <x v="2"/>
    <s v="NASA"/>
    <s v="Space Systems"/>
    <s v="Elena Torres"/>
    <x v="5"/>
    <x v="2"/>
    <n v="369225.74"/>
    <n v="377688.94"/>
    <n v="379576.38"/>
    <n v="379632.66"/>
    <n v="8463.2000000000116"/>
    <n v="2.2921478876310228E-2"/>
    <n v="1887.4400000000023"/>
    <n v="1.0049973398744481"/>
  </r>
  <r>
    <s v="AP-103"/>
    <x v="2"/>
    <s v="NASA"/>
    <s v="Space Systems"/>
    <s v="Elena Torres"/>
    <x v="5"/>
    <x v="3"/>
    <n v="257341.2"/>
    <n v="265189.03999999998"/>
    <n v="251343.85"/>
    <n v="264004.49"/>
    <n v="7847.8399999999674"/>
    <n v="3.0495855308050039E-2"/>
    <n v="-13845.189999999973"/>
    <n v="0.94779124355968869"/>
  </r>
  <r>
    <s v="AP-103"/>
    <x v="2"/>
    <s v="NASA"/>
    <s v="Space Systems"/>
    <s v="Elena Torres"/>
    <x v="5"/>
    <x v="4"/>
    <n v="60278.34"/>
    <n v="60245.13"/>
    <n v="61119.1"/>
    <n v="59946.76"/>
    <n v="-33.209999999999127"/>
    <n v="-5.5094416999537698E-4"/>
    <n v="873.97000000000116"/>
    <n v="1.0145068987318975"/>
  </r>
  <r>
    <s v="AP-103"/>
    <x v="2"/>
    <s v="NASA"/>
    <s v="Space Systems"/>
    <s v="Elena Torres"/>
    <x v="5"/>
    <x v="5"/>
    <n v="97293.18"/>
    <n v="99212.98"/>
    <n v="96269.45"/>
    <n v="100063.43"/>
    <n v="1919.8000000000029"/>
    <n v="1.9732112775016738E-2"/>
    <n v="-2943.5299999999988"/>
    <n v="0.97033120061508082"/>
  </r>
  <r>
    <s v="AP-103"/>
    <x v="2"/>
    <s v="NASA"/>
    <s v="Space Systems"/>
    <s v="Elena Torres"/>
    <x v="6"/>
    <x v="0"/>
    <n v="575411.66"/>
    <n v="568425.42000000004"/>
    <n v="585731.28"/>
    <n v="569134.72"/>
    <n v="-6986.2399999999907"/>
    <n v="-1.214129028945988E-2"/>
    <n v="17305.859999999986"/>
    <n v="1.0304452605233594"/>
  </r>
  <r>
    <s v="AP-103"/>
    <x v="2"/>
    <s v="NASA"/>
    <s v="Space Systems"/>
    <s v="Elena Torres"/>
    <x v="6"/>
    <x v="1"/>
    <n v="445592.12"/>
    <n v="499509.3"/>
    <n v="451312.63"/>
    <n v="479129.28"/>
    <n v="53917.179999999993"/>
    <n v="0.12100119723840716"/>
    <n v="-48196.669999999984"/>
    <n v="0.90351196664406452"/>
  </r>
  <r>
    <s v="AP-103"/>
    <x v="2"/>
    <s v="NASA"/>
    <s v="Space Systems"/>
    <s v="Elena Torres"/>
    <x v="6"/>
    <x v="2"/>
    <n v="349967.39"/>
    <n v="360627.55"/>
    <n v="343266.62"/>
    <n v="361611.98"/>
    <n v="10660.159999999974"/>
    <n v="3.0460438042527259E-2"/>
    <n v="-17360.929999999993"/>
    <n v="0.9518591133705675"/>
  </r>
  <r>
    <s v="AP-103"/>
    <x v="2"/>
    <s v="NASA"/>
    <s v="Space Systems"/>
    <s v="Elena Torres"/>
    <x v="6"/>
    <x v="3"/>
    <n v="269476.37"/>
    <n v="274091.63"/>
    <n v="265610.83"/>
    <n v="276751.5"/>
    <n v="4615.2600000000093"/>
    <n v="1.7126770707205273E-2"/>
    <n v="-8480.7999999999884"/>
    <n v="0.96905852250942504"/>
  </r>
  <r>
    <s v="AP-103"/>
    <x v="2"/>
    <s v="NASA"/>
    <s v="Space Systems"/>
    <s v="Elena Torres"/>
    <x v="6"/>
    <x v="4"/>
    <n v="64577.88"/>
    <n v="66045.23"/>
    <n v="66166.820000000007"/>
    <n v="66230.77"/>
    <n v="1467.3499999999985"/>
    <n v="2.2722176695797364E-2"/>
    <n v="121.59000000001106"/>
    <n v="1.0018410110768032"/>
  </r>
  <r>
    <s v="AP-103"/>
    <x v="2"/>
    <s v="NASA"/>
    <s v="Space Systems"/>
    <s v="Elena Torres"/>
    <x v="6"/>
    <x v="5"/>
    <n v="99205.24"/>
    <n v="95845.26"/>
    <n v="97210.19"/>
    <n v="96756.2"/>
    <n v="-3359.9800000000105"/>
    <n v="-3.3868977082259062E-2"/>
    <n v="1364.9300000000076"/>
    <n v="1.0142409755057267"/>
  </r>
  <r>
    <s v="AP-103"/>
    <x v="2"/>
    <s v="NASA"/>
    <s v="Space Systems"/>
    <s v="Elena Torres"/>
    <x v="7"/>
    <x v="0"/>
    <n v="576965.81000000006"/>
    <n v="590662.43000000005"/>
    <n v="572219.76"/>
    <n v="588757.62"/>
    <n v="13696.619999999995"/>
    <n v="2.3739049632767656E-2"/>
    <n v="-18442.670000000042"/>
    <n v="0.96877629410084531"/>
  </r>
  <r>
    <s v="AP-103"/>
    <x v="2"/>
    <s v="NASA"/>
    <s v="Space Systems"/>
    <s v="Elena Torres"/>
    <x v="7"/>
    <x v="1"/>
    <n v="457795.63"/>
    <n v="506752.59"/>
    <n v="461303.38"/>
    <n v="492222.47"/>
    <n v="48956.960000000021"/>
    <n v="0.10694064510838608"/>
    <n v="-45449.210000000021"/>
    <n v="0.91031282148947668"/>
  </r>
  <r>
    <s v="AP-103"/>
    <x v="2"/>
    <s v="NASA"/>
    <s v="Space Systems"/>
    <s v="Elena Torres"/>
    <x v="7"/>
    <x v="2"/>
    <n v="368906.64"/>
    <n v="360566.75"/>
    <n v="363369.88"/>
    <n v="360609.22"/>
    <n v="-8339.890000000014"/>
    <n v="-2.260704768013938E-2"/>
    <n v="2803.1300000000047"/>
    <n v="1.0077742332036994"/>
  </r>
  <r>
    <s v="AP-103"/>
    <x v="2"/>
    <s v="NASA"/>
    <s v="Space Systems"/>
    <s v="Elena Torres"/>
    <x v="7"/>
    <x v="3"/>
    <n v="266519.23"/>
    <n v="272589.84999999998"/>
    <n v="264124.14"/>
    <n v="274656.13"/>
    <n v="6070.6199999999953"/>
    <n v="2.2777418349887908E-2"/>
    <n v="-8465.7099999999627"/>
    <n v="0.96894341443747822"/>
  </r>
  <r>
    <s v="AP-103"/>
    <x v="2"/>
    <s v="NASA"/>
    <s v="Space Systems"/>
    <s v="Elena Torres"/>
    <x v="7"/>
    <x v="4"/>
    <n v="64361.36"/>
    <n v="64044.39"/>
    <n v="64309.39"/>
    <n v="64642.14"/>
    <n v="-316.97000000000116"/>
    <n v="-4.9248493195296244E-3"/>
    <n v="265"/>
    <n v="1.0041377550789383"/>
  </r>
  <r>
    <s v="AP-103"/>
    <x v="2"/>
    <s v="NASA"/>
    <s v="Space Systems"/>
    <s v="Elena Torres"/>
    <x v="7"/>
    <x v="5"/>
    <n v="99942.73"/>
    <n v="98578.01"/>
    <n v="97330.72"/>
    <n v="98627.25"/>
    <n v="-1364.7200000000012"/>
    <n v="-1.3655020230085782E-2"/>
    <n v="-1247.2899999999936"/>
    <n v="0.98734717813841044"/>
  </r>
  <r>
    <s v="AP-103"/>
    <x v="2"/>
    <s v="NASA"/>
    <s v="Space Systems"/>
    <s v="Elena Torres"/>
    <x v="8"/>
    <x v="0"/>
    <n v="594628.91"/>
    <n v="581673.59"/>
    <n v="577797.69999999995"/>
    <n v="585273.53"/>
    <n v="-12955.320000000065"/>
    <n v="-2.1787235336405128E-2"/>
    <n v="-3875.890000000014"/>
    <n v="0.99333665810751348"/>
  </r>
  <r>
    <s v="AP-103"/>
    <x v="2"/>
    <s v="NASA"/>
    <s v="Space Systems"/>
    <s v="Elena Torres"/>
    <x v="8"/>
    <x v="1"/>
    <n v="462605.54"/>
    <n v="494781.52"/>
    <n v="452610.03"/>
    <n v="478717.08"/>
    <n v="32175.98000000004"/>
    <n v="6.9553814681942716E-2"/>
    <n v="-42171.489999999991"/>
    <n v="0.91476745129850445"/>
  </r>
  <r>
    <s v="AP-103"/>
    <x v="2"/>
    <s v="NASA"/>
    <s v="Space Systems"/>
    <s v="Elena Torres"/>
    <x v="8"/>
    <x v="2"/>
    <n v="362603.87"/>
    <n v="368520.17"/>
    <n v="358397.5"/>
    <n v="365590.98"/>
    <n v="5916.2999999999884"/>
    <n v="1.6316152389658688E-2"/>
    <n v="-10122.669999999984"/>
    <n v="0.9725315713384155"/>
  </r>
  <r>
    <s v="AP-103"/>
    <x v="2"/>
    <s v="NASA"/>
    <s v="Space Systems"/>
    <s v="Elena Torres"/>
    <x v="8"/>
    <x v="3"/>
    <n v="266292.03000000003"/>
    <n v="265993.89"/>
    <n v="267600.31"/>
    <n v="266887.18"/>
    <n v="-298.14000000001397"/>
    <n v="-1.1195979091075837E-3"/>
    <n v="1606.4199999999837"/>
    <n v="1.0060393116548654"/>
  </r>
  <r>
    <s v="AP-103"/>
    <x v="2"/>
    <s v="NASA"/>
    <s v="Space Systems"/>
    <s v="Elena Torres"/>
    <x v="8"/>
    <x v="4"/>
    <n v="62775.72"/>
    <n v="61323.45"/>
    <n v="61855.58"/>
    <n v="62534.81"/>
    <n v="-1452.2700000000041"/>
    <n v="-2.3134262737249434E-2"/>
    <n v="532.13000000000466"/>
    <n v="1.0086774309012296"/>
  </r>
  <r>
    <s v="AP-103"/>
    <x v="2"/>
    <s v="NASA"/>
    <s v="Space Systems"/>
    <s v="Elena Torres"/>
    <x v="8"/>
    <x v="5"/>
    <n v="97586.68"/>
    <n v="98286.49"/>
    <n v="98320.38"/>
    <n v="99347.95"/>
    <n v="699.81000000001222"/>
    <n v="7.1711631136545714E-3"/>
    <n v="33.889999999999418"/>
    <n v="1.0003448083251321"/>
  </r>
  <r>
    <s v="AP-103"/>
    <x v="2"/>
    <s v="NASA"/>
    <s v="Space Systems"/>
    <s v="Elena Torres"/>
    <x v="9"/>
    <x v="0"/>
    <n v="600307.72"/>
    <n v="596580.82999999996"/>
    <n v="616027.15"/>
    <n v="603470.42000000004"/>
    <n v="-3726.890000000014"/>
    <n v="-6.2082993035638689E-3"/>
    <n v="19446.320000000065"/>
    <n v="1.0325962870781484"/>
  </r>
  <r>
    <s v="AP-103"/>
    <x v="2"/>
    <s v="NASA"/>
    <s v="Space Systems"/>
    <s v="Elena Torres"/>
    <x v="9"/>
    <x v="1"/>
    <n v="484253.16"/>
    <n v="543378.01"/>
    <n v="473487.58"/>
    <n v="521380.7"/>
    <n v="59124.850000000035"/>
    <n v="0.12209491828612959"/>
    <n v="-69890.429999999993"/>
    <n v="0.87137788295849516"/>
  </r>
  <r>
    <s v="AP-103"/>
    <x v="2"/>
    <s v="NASA"/>
    <s v="Space Systems"/>
    <s v="Elena Torres"/>
    <x v="9"/>
    <x v="2"/>
    <n v="374281.93"/>
    <n v="399781.7"/>
    <n v="373118.36"/>
    <n v="392418.77"/>
    <n v="25499.770000000019"/>
    <n v="6.81298453280927E-2"/>
    <n v="-26663.340000000026"/>
    <n v="0.93330525134091924"/>
  </r>
  <r>
    <s v="AP-103"/>
    <x v="2"/>
    <s v="NASA"/>
    <s v="Space Systems"/>
    <s v="Elena Torres"/>
    <x v="9"/>
    <x v="3"/>
    <n v="260022.48"/>
    <n v="252158.23"/>
    <n v="262950.56"/>
    <n v="256924.93"/>
    <n v="-7864.25"/>
    <n v="-3.0244500398580922E-2"/>
    <n v="10792.329999999987"/>
    <n v="1.0427998324702707"/>
  </r>
  <r>
    <s v="AP-103"/>
    <x v="2"/>
    <s v="NASA"/>
    <s v="Space Systems"/>
    <s v="Elena Torres"/>
    <x v="9"/>
    <x v="4"/>
    <n v="66307.88"/>
    <n v="65402.239999999998"/>
    <n v="67556.83"/>
    <n v="65789.710000000006"/>
    <n v="-905.64000000000669"/>
    <n v="-1.365810519051441E-2"/>
    <n v="2154.5900000000038"/>
    <n v="1.0329436728772594"/>
  </r>
  <r>
    <s v="AP-103"/>
    <x v="2"/>
    <s v="NASA"/>
    <s v="Space Systems"/>
    <s v="Elena Torres"/>
    <x v="9"/>
    <x v="5"/>
    <n v="101724.55"/>
    <n v="102834.19"/>
    <n v="98861.37"/>
    <n v="101357.78"/>
    <n v="1109.6399999999994"/>
    <n v="1.0908281235945496E-2"/>
    <n v="-3972.820000000007"/>
    <n v="0.96136673999182565"/>
  </r>
  <r>
    <s v="AP-103"/>
    <x v="2"/>
    <s v="NASA"/>
    <s v="Space Systems"/>
    <s v="Elena Torres"/>
    <x v="10"/>
    <x v="0"/>
    <n v="615140.09"/>
    <n v="602611.56999999995"/>
    <n v="610022.59"/>
    <n v="607352.97"/>
    <n v="-12528.520000000019"/>
    <n v="-2.0366937879142327E-2"/>
    <n v="7411.0200000000186"/>
    <n v="1.012298170776907"/>
  </r>
  <r>
    <s v="AP-103"/>
    <x v="2"/>
    <s v="NASA"/>
    <s v="Space Systems"/>
    <s v="Elena Torres"/>
    <x v="10"/>
    <x v="1"/>
    <n v="474094.67"/>
    <n v="529910.54"/>
    <n v="485395.9"/>
    <n v="506405.26"/>
    <n v="55815.870000000054"/>
    <n v="0.11773148599202783"/>
    <n v="-44514.640000000014"/>
    <n v="0.91599593395519174"/>
  </r>
  <r>
    <s v="AP-103"/>
    <x v="2"/>
    <s v="NASA"/>
    <s v="Space Systems"/>
    <s v="Elena Torres"/>
    <x v="10"/>
    <x v="2"/>
    <n v="362322.8"/>
    <n v="379427.05"/>
    <n v="357836.02"/>
    <n v="371325.98"/>
    <n v="17104.25"/>
    <n v="4.7207214119564106E-2"/>
    <n v="-21591.02999999997"/>
    <n v="0.94309570179564173"/>
  </r>
  <r>
    <s v="AP-103"/>
    <x v="2"/>
    <s v="NASA"/>
    <s v="Space Systems"/>
    <s v="Elena Torres"/>
    <x v="10"/>
    <x v="3"/>
    <n v="276096.53999999998"/>
    <n v="268995.56"/>
    <n v="278544.46999999997"/>
    <n v="275971.40000000002"/>
    <n v="-7100.9799999999814"/>
    <n v="-2.5719192279627923E-2"/>
    <n v="9548.9099999999744"/>
    <n v="1.0354983926128742"/>
  </r>
  <r>
    <s v="AP-103"/>
    <x v="2"/>
    <s v="NASA"/>
    <s v="Space Systems"/>
    <s v="Elena Torres"/>
    <x v="10"/>
    <x v="4"/>
    <n v="67003.3"/>
    <n v="65328.06"/>
    <n v="68464.42"/>
    <n v="65654.02"/>
    <n v="-1675.2400000000052"/>
    <n v="-2.5002350630491412E-2"/>
    <n v="3136.3600000000006"/>
    <n v="1.0480093852473196"/>
  </r>
  <r>
    <s v="AP-103"/>
    <x v="2"/>
    <s v="NASA"/>
    <s v="Space Systems"/>
    <s v="Elena Torres"/>
    <x v="10"/>
    <x v="5"/>
    <n v="96678.74"/>
    <n v="97887.3"/>
    <n v="96025.73"/>
    <n v="96708.13"/>
    <n v="1208.5599999999977"/>
    <n v="1.2500783522830331E-2"/>
    <n v="-1861.570000000007"/>
    <n v="0.9809825176503999"/>
  </r>
  <r>
    <s v="AP-103"/>
    <x v="2"/>
    <s v="NASA"/>
    <s v="Space Systems"/>
    <s v="Elena Torres"/>
    <x v="11"/>
    <x v="0"/>
    <n v="598245.56000000006"/>
    <n v="582475.64"/>
    <n v="581059.93999999994"/>
    <n v="594779.75"/>
    <n v="-15769.920000000042"/>
    <n v="-2.6360279213773086E-2"/>
    <n v="-1415.7000000000698"/>
    <n v="0.997569512091527"/>
  </r>
  <r>
    <s v="AP-103"/>
    <x v="2"/>
    <s v="NASA"/>
    <s v="Space Systems"/>
    <s v="Elena Torres"/>
    <x v="11"/>
    <x v="1"/>
    <n v="486191.13"/>
    <n v="561007.51"/>
    <n v="478412.09"/>
    <n v="534091.61"/>
    <n v="74816.38"/>
    <n v="0.15388265104713039"/>
    <n v="-82595.419999999984"/>
    <n v="0.85277305824301719"/>
  </r>
  <r>
    <s v="AP-103"/>
    <x v="2"/>
    <s v="NASA"/>
    <s v="Space Systems"/>
    <s v="Elena Torres"/>
    <x v="11"/>
    <x v="2"/>
    <n v="367528.95"/>
    <n v="383236.54"/>
    <n v="361135.81"/>
    <n v="380971.9"/>
    <n v="15707.589999999967"/>
    <n v="4.2738374759321587E-2"/>
    <n v="-22100.729999999981"/>
    <n v="0.94233136015683683"/>
  </r>
  <r>
    <s v="AP-103"/>
    <x v="2"/>
    <s v="NASA"/>
    <s v="Space Systems"/>
    <s v="Elena Torres"/>
    <x v="11"/>
    <x v="3"/>
    <n v="279769.86"/>
    <n v="274311.49"/>
    <n v="280535.65000000002"/>
    <n v="278089.51"/>
    <n v="-5458.3699999999953"/>
    <n v="-1.951021457422181E-2"/>
    <n v="6224.1600000000326"/>
    <n v="1.0226901177198229"/>
  </r>
  <r>
    <s v="AP-103"/>
    <x v="2"/>
    <s v="NASA"/>
    <s v="Space Systems"/>
    <s v="Elena Torres"/>
    <x v="11"/>
    <x v="4"/>
    <n v="67472.78"/>
    <n v="65687.259999999995"/>
    <n v="68907.710000000006"/>
    <n v="66175.56"/>
    <n v="-1785.5200000000041"/>
    <n v="-2.646281952514783E-2"/>
    <n v="3220.4500000000116"/>
    <n v="1.0490270107171469"/>
  </r>
  <r>
    <s v="AP-103"/>
    <x v="2"/>
    <s v="NASA"/>
    <s v="Space Systems"/>
    <s v="Elena Torres"/>
    <x v="11"/>
    <x v="5"/>
    <n v="103589.22"/>
    <n v="105531.55"/>
    <n v="101650.55"/>
    <n v="106003.17"/>
    <n v="1942.3300000000017"/>
    <n v="1.8750310119141758E-2"/>
    <n v="-3881"/>
    <n v="0.96322426800326533"/>
  </r>
  <r>
    <s v="AP-103"/>
    <x v="2"/>
    <s v="NASA"/>
    <s v="Space Systems"/>
    <s v="Elena Torres"/>
    <x v="12"/>
    <x v="0"/>
    <n v="567702.59"/>
    <n v="556779.98"/>
    <n v="574811.36"/>
    <n v="562530.5"/>
    <n v="-10922.609999999986"/>
    <n v="-1.9240021434462694E-2"/>
    <n v="18031.380000000005"/>
    <n v="1.0323851083869791"/>
  </r>
  <r>
    <s v="AP-103"/>
    <x v="2"/>
    <s v="NASA"/>
    <s v="Space Systems"/>
    <s v="Elena Torres"/>
    <x v="12"/>
    <x v="1"/>
    <n v="462788.64"/>
    <n v="531122.54"/>
    <n v="473544.43"/>
    <n v="510000.31"/>
    <n v="68333.900000000023"/>
    <n v="0.14765682234550964"/>
    <n v="-57578.110000000044"/>
    <n v="0.89159166545633695"/>
  </r>
  <r>
    <s v="AP-103"/>
    <x v="2"/>
    <s v="NASA"/>
    <s v="Space Systems"/>
    <s v="Elena Torres"/>
    <x v="12"/>
    <x v="2"/>
    <n v="346859.3"/>
    <n v="369488.72"/>
    <n v="342740.07"/>
    <n v="367001.93"/>
    <n v="22629.419999999984"/>
    <n v="6.5240920453913109E-2"/>
    <n v="-26748.649999999965"/>
    <n v="0.9276063150182231"/>
  </r>
  <r>
    <s v="AP-103"/>
    <x v="2"/>
    <s v="NASA"/>
    <s v="Space Systems"/>
    <s v="Elena Torres"/>
    <x v="12"/>
    <x v="3"/>
    <n v="257392.65"/>
    <n v="248868.94"/>
    <n v="252760.93"/>
    <n v="250961.78"/>
    <n v="-8523.7099999999919"/>
    <n v="-3.3115592073044792E-2"/>
    <n v="3891.9899999999907"/>
    <n v="1.0156387132922251"/>
  </r>
  <r>
    <s v="AP-103"/>
    <x v="2"/>
    <s v="NASA"/>
    <s v="Space Systems"/>
    <s v="Elena Torres"/>
    <x v="12"/>
    <x v="4"/>
    <n v="60247.49"/>
    <n v="62181.58"/>
    <n v="59013.88"/>
    <n v="60842.17"/>
    <n v="1934.0900000000038"/>
    <n v="3.210241621684163E-2"/>
    <n v="-3167.7000000000044"/>
    <n v="0.94905726100880672"/>
  </r>
  <r>
    <s v="AP-103"/>
    <x v="2"/>
    <s v="NASA"/>
    <s v="Space Systems"/>
    <s v="Elena Torres"/>
    <x v="12"/>
    <x v="5"/>
    <n v="94664.86"/>
    <n v="97515.63"/>
    <n v="93296.45"/>
    <n v="95645.21"/>
    <n v="2850.7700000000041"/>
    <n v="3.0114342323011981E-2"/>
    <n v="-4219.1800000000076"/>
    <n v="0.95673329495999759"/>
  </r>
  <r>
    <s v="AP-103"/>
    <x v="2"/>
    <s v="NASA"/>
    <s v="Space Systems"/>
    <s v="Elena Torres"/>
    <x v="13"/>
    <x v="0"/>
    <n v="586512.81999999995"/>
    <n v="583929.18999999994"/>
    <n v="601340.73"/>
    <n v="591846.09"/>
    <n v="-2583.6300000000047"/>
    <n v="-4.4050699522646493E-3"/>
    <n v="17411.540000000037"/>
    <n v="1.0298178962418372"/>
  </r>
  <r>
    <s v="AP-103"/>
    <x v="2"/>
    <s v="NASA"/>
    <s v="Space Systems"/>
    <s v="Elena Torres"/>
    <x v="13"/>
    <x v="1"/>
    <n v="467230.25"/>
    <n v="526108.78"/>
    <n v="462937.21"/>
    <n v="512689.68"/>
    <n v="58878.530000000028"/>
    <n v="0.12601609163790237"/>
    <n v="-63171.570000000007"/>
    <n v="0.87992679004520702"/>
  </r>
  <r>
    <s v="AP-103"/>
    <x v="2"/>
    <s v="NASA"/>
    <s v="Space Systems"/>
    <s v="Elena Torres"/>
    <x v="13"/>
    <x v="2"/>
    <n v="368380.92"/>
    <n v="385790.51"/>
    <n v="376181.4"/>
    <n v="385152.44"/>
    <n v="17409.590000000026"/>
    <n v="4.7259749500598532E-2"/>
    <n v="-9609.109999999986"/>
    <n v="0.97509241479268116"/>
  </r>
  <r>
    <s v="AP-103"/>
    <x v="2"/>
    <s v="NASA"/>
    <s v="Space Systems"/>
    <s v="Elena Torres"/>
    <x v="13"/>
    <x v="3"/>
    <n v="258637.35"/>
    <n v="255124.57"/>
    <n v="257465.75"/>
    <n v="258843.29"/>
    <n v="-3512.7799999999988"/>
    <n v="-1.358187438898519E-2"/>
    <n v="2341.179999999993"/>
    <n v="1.009176615172737"/>
  </r>
  <r>
    <s v="AP-103"/>
    <x v="2"/>
    <s v="NASA"/>
    <s v="Space Systems"/>
    <s v="Elena Torres"/>
    <x v="13"/>
    <x v="4"/>
    <n v="61735.79"/>
    <n v="62841.83"/>
    <n v="61081.93"/>
    <n v="62274.46"/>
    <n v="1106.0400000000009"/>
    <n v="1.7915701734763593E-2"/>
    <n v="-1759.9000000000015"/>
    <n v="0.97199476845279642"/>
  </r>
  <r>
    <s v="AP-103"/>
    <x v="2"/>
    <s v="NASA"/>
    <s v="Space Systems"/>
    <s v="Elena Torres"/>
    <x v="13"/>
    <x v="5"/>
    <n v="93162.13"/>
    <n v="96412.07"/>
    <n v="92652.66"/>
    <n v="95968.82"/>
    <n v="3249.9400000000023"/>
    <n v="3.4884775605710197E-2"/>
    <n v="-3759.4100000000035"/>
    <n v="0.96100685318757284"/>
  </r>
  <r>
    <s v="AP-103"/>
    <x v="2"/>
    <s v="NASA"/>
    <s v="Space Systems"/>
    <s v="Elena Torres"/>
    <x v="14"/>
    <x v="0"/>
    <n v="571901"/>
    <n v="584964.1"/>
    <n v="577759.32999999996"/>
    <n v="583281.47"/>
    <n v="13063.099999999977"/>
    <n v="2.2841540756179786E-2"/>
    <n v="-7204.7700000000186"/>
    <n v="0.98768339800681781"/>
  </r>
  <r>
    <s v="AP-103"/>
    <x v="2"/>
    <s v="NASA"/>
    <s v="Space Systems"/>
    <s v="Elena Torres"/>
    <x v="14"/>
    <x v="1"/>
    <n v="454914.67"/>
    <n v="508892.43"/>
    <n v="466906.75"/>
    <n v="491328.08"/>
    <n v="53977.760000000009"/>
    <n v="0.11865469187880885"/>
    <n v="-41985.679999999993"/>
    <n v="0.91749596275189238"/>
  </r>
  <r>
    <s v="AP-103"/>
    <x v="2"/>
    <s v="NASA"/>
    <s v="Space Systems"/>
    <s v="Elena Torres"/>
    <x v="14"/>
    <x v="2"/>
    <n v="372074.34"/>
    <n v="394764.53"/>
    <n v="374874.42"/>
    <n v="386352.3"/>
    <n v="22690.190000000002"/>
    <n v="6.0982947655030449E-2"/>
    <n v="-19890.110000000044"/>
    <n v="0.94961525545367498"/>
  </r>
  <r>
    <s v="AP-103"/>
    <x v="2"/>
    <s v="NASA"/>
    <s v="Space Systems"/>
    <s v="Elena Torres"/>
    <x v="14"/>
    <x v="3"/>
    <n v="272206.25"/>
    <n v="275849.48"/>
    <n v="276121.99"/>
    <n v="274463.43"/>
    <n v="3643.2299999999814"/>
    <n v="1.3384079167910293E-2"/>
    <n v="272.51000000000931"/>
    <n v="1.0009878938325352"/>
  </r>
  <r>
    <s v="AP-103"/>
    <x v="2"/>
    <s v="NASA"/>
    <s v="Space Systems"/>
    <s v="Elena Torres"/>
    <x v="14"/>
    <x v="4"/>
    <n v="64545.09"/>
    <n v="64505.14"/>
    <n v="64833.66"/>
    <n v="64683.62"/>
    <n v="-39.94999999999709"/>
    <n v="-6.1894715771559222E-4"/>
    <n v="328.52000000000407"/>
    <n v="1.0050929274783373"/>
  </r>
  <r>
    <s v="AP-103"/>
    <x v="2"/>
    <s v="NASA"/>
    <s v="Space Systems"/>
    <s v="Elena Torres"/>
    <x v="14"/>
    <x v="5"/>
    <n v="94650.38"/>
    <n v="94209.25"/>
    <n v="97392.61"/>
    <n v="93522.75"/>
    <n v="-441.13000000000466"/>
    <n v="-4.6606257682220041E-3"/>
    <n v="3183.3600000000006"/>
    <n v="1.0337903125223904"/>
  </r>
  <r>
    <s v="AP-103"/>
    <x v="2"/>
    <s v="NASA"/>
    <s v="Space Systems"/>
    <s v="Elena Torres"/>
    <x v="15"/>
    <x v="0"/>
    <n v="569503.25"/>
    <n v="577692.94999999995"/>
    <n v="563364.18999999994"/>
    <n v="576451.94999999995"/>
    <n v="8189.6999999999534"/>
    <n v="1.4380427152961731E-2"/>
    <n v="-14328.760000000009"/>
    <n v="0.97519658150579813"/>
  </r>
  <r>
    <s v="AP-103"/>
    <x v="2"/>
    <s v="NASA"/>
    <s v="Space Systems"/>
    <s v="Elena Torres"/>
    <x v="15"/>
    <x v="1"/>
    <n v="458797.6"/>
    <n v="527307.37"/>
    <n v="451124.19"/>
    <n v="509662.81"/>
    <n v="68509.770000000019"/>
    <n v="0.14932460413916729"/>
    <n v="-76183.179999999993"/>
    <n v="0.85552415093306966"/>
  </r>
  <r>
    <s v="AP-103"/>
    <x v="2"/>
    <s v="NASA"/>
    <s v="Space Systems"/>
    <s v="Elena Torres"/>
    <x v="15"/>
    <x v="2"/>
    <n v="381702.18"/>
    <n v="396869.99"/>
    <n v="391691.83"/>
    <n v="394907.4"/>
    <n v="15167.809999999998"/>
    <n v="3.9737289422868895E-2"/>
    <n v="-5178.1599999999744"/>
    <n v="0.98695250300986481"/>
  </r>
  <r>
    <s v="AP-103"/>
    <x v="2"/>
    <s v="NASA"/>
    <s v="Space Systems"/>
    <s v="Elena Torres"/>
    <x v="15"/>
    <x v="3"/>
    <n v="264043.90999999997"/>
    <n v="272610.59999999998"/>
    <n v="267592.27"/>
    <n v="269709.5"/>
    <n v="8566.6900000000023"/>
    <n v="3.244418702934676E-2"/>
    <n v="-5018.3299999999581"/>
    <n v="0.98159158154525183"/>
  </r>
  <r>
    <s v="AP-103"/>
    <x v="2"/>
    <s v="NASA"/>
    <s v="Space Systems"/>
    <s v="Elena Torres"/>
    <x v="15"/>
    <x v="4"/>
    <n v="62363.77"/>
    <n v="64218.84"/>
    <n v="63834.400000000001"/>
    <n v="63389.51"/>
    <n v="1855.0699999999997"/>
    <n v="2.9745956666827549E-2"/>
    <n v="-384.43999999999505"/>
    <n v="0.99401359476440254"/>
  </r>
  <r>
    <s v="AP-103"/>
    <x v="2"/>
    <s v="NASA"/>
    <s v="Space Systems"/>
    <s v="Elena Torres"/>
    <x v="15"/>
    <x v="5"/>
    <n v="99447.74"/>
    <n v="96380.03"/>
    <n v="97092.74"/>
    <n v="99241.35"/>
    <n v="-3067.7100000000064"/>
    <n v="-3.084745817250353E-2"/>
    <n v="712.7100000000064"/>
    <n v="1.007394789148748"/>
  </r>
  <r>
    <s v="AP-103"/>
    <x v="2"/>
    <s v="NASA"/>
    <s v="Space Systems"/>
    <s v="Elena Torres"/>
    <x v="16"/>
    <x v="0"/>
    <n v="613342.93999999994"/>
    <n v="613490.79"/>
    <n v="609205.74"/>
    <n v="615416.34"/>
    <n v="147.85000000009313"/>
    <n v="2.4105600693813016E-4"/>
    <n v="-4285.0500000000466"/>
    <n v="0.99301529856707382"/>
  </r>
  <r>
    <s v="AP-103"/>
    <x v="2"/>
    <s v="NASA"/>
    <s v="Space Systems"/>
    <s v="Elena Torres"/>
    <x v="16"/>
    <x v="1"/>
    <n v="455601.44"/>
    <n v="507422.89"/>
    <n v="453227.91"/>
    <n v="489518.43"/>
    <n v="51821.450000000012"/>
    <n v="0.11374294602756306"/>
    <n v="-54194.98000000004"/>
    <n v="0.89319563411891012"/>
  </r>
  <r>
    <s v="AP-103"/>
    <x v="2"/>
    <s v="NASA"/>
    <s v="Space Systems"/>
    <s v="Elena Torres"/>
    <x v="16"/>
    <x v="2"/>
    <n v="357020.76"/>
    <n v="385014.47"/>
    <n v="349860.08"/>
    <n v="374519.69"/>
    <n v="27993.709999999963"/>
    <n v="7.8409193907939587E-2"/>
    <n v="-35154.389999999956"/>
    <n v="0.90869332781180934"/>
  </r>
  <r>
    <s v="AP-103"/>
    <x v="2"/>
    <s v="NASA"/>
    <s v="Space Systems"/>
    <s v="Elena Torres"/>
    <x v="16"/>
    <x v="3"/>
    <n v="277822.09999999998"/>
    <n v="285111.09999999998"/>
    <n v="276050.36"/>
    <n v="285782.74"/>
    <n v="7289"/>
    <n v="2.6236213749734096E-2"/>
    <n v="-9060.7399999999907"/>
    <n v="0.96822031832503197"/>
  </r>
  <r>
    <s v="AP-103"/>
    <x v="2"/>
    <s v="NASA"/>
    <s v="Space Systems"/>
    <s v="Elena Torres"/>
    <x v="16"/>
    <x v="4"/>
    <n v="66316.600000000006"/>
    <n v="68528.33"/>
    <n v="67459.179999999993"/>
    <n v="67189.95"/>
    <n v="2211.7299999999959"/>
    <n v="3.3351076502715696E-2"/>
    <n v="-1069.1500000000087"/>
    <n v="0.98439842325064675"/>
  </r>
  <r>
    <s v="AP-103"/>
    <x v="2"/>
    <s v="NASA"/>
    <s v="Space Systems"/>
    <s v="Elena Torres"/>
    <x v="16"/>
    <x v="5"/>
    <n v="96942.18"/>
    <n v="97633.27"/>
    <n v="94704.39"/>
    <n v="98618.82"/>
    <n v="691.09000000001106"/>
    <n v="7.1288885808015777E-3"/>
    <n v="-2928.8800000000047"/>
    <n v="0.970001209628644"/>
  </r>
  <r>
    <s v="AP-103"/>
    <x v="2"/>
    <s v="NASA"/>
    <s v="Space Systems"/>
    <s v="Elena Torres"/>
    <x v="17"/>
    <x v="0"/>
    <n v="595844.74"/>
    <n v="609033.93999999994"/>
    <n v="581406.21"/>
    <n v="607572.41"/>
    <n v="13189.199999999953"/>
    <n v="2.2135296520365277E-2"/>
    <n v="-27627.729999999981"/>
    <n v="0.95463679741723428"/>
  </r>
  <r>
    <s v="AP-103"/>
    <x v="2"/>
    <s v="NASA"/>
    <s v="Space Systems"/>
    <s v="Elena Torres"/>
    <x v="17"/>
    <x v="1"/>
    <n v="481590.95"/>
    <n v="541477.02"/>
    <n v="481226.43"/>
    <n v="521601.84"/>
    <n v="59886.070000000007"/>
    <n v="0.124350488729076"/>
    <n v="-60250.590000000026"/>
    <n v="0.8887291837426452"/>
  </r>
  <r>
    <s v="AP-103"/>
    <x v="2"/>
    <s v="NASA"/>
    <s v="Space Systems"/>
    <s v="Elena Torres"/>
    <x v="17"/>
    <x v="2"/>
    <n v="359383.56"/>
    <n v="397428.87"/>
    <n v="349842.17"/>
    <n v="386325.71"/>
    <n v="38045.31"/>
    <n v="0.10586268887758805"/>
    <n v="-47586.700000000012"/>
    <n v="0.88026360540944093"/>
  </r>
  <r>
    <s v="AP-103"/>
    <x v="2"/>
    <s v="NASA"/>
    <s v="Space Systems"/>
    <s v="Elena Torres"/>
    <x v="17"/>
    <x v="3"/>
    <n v="266799.87"/>
    <n v="263539.59999999998"/>
    <n v="269671.78999999998"/>
    <n v="262173.36"/>
    <n v="-3260.2700000000186"/>
    <n v="-1.2219908502953989E-2"/>
    <n v="6132.1900000000023"/>
    <n v="1.023268571402552"/>
  </r>
  <r>
    <s v="AP-103"/>
    <x v="2"/>
    <s v="NASA"/>
    <s v="Space Systems"/>
    <s v="Elena Torres"/>
    <x v="17"/>
    <x v="4"/>
    <n v="65021.48"/>
    <n v="66974.45"/>
    <n v="66474.100000000006"/>
    <n v="66778.14"/>
    <n v="1952.9699999999939"/>
    <n v="3.0035766642038813E-2"/>
    <n v="-500.34999999999127"/>
    <n v="0.99252924062832926"/>
  </r>
  <r>
    <s v="AP-103"/>
    <x v="2"/>
    <s v="NASA"/>
    <s v="Space Systems"/>
    <s v="Elena Torres"/>
    <x v="17"/>
    <x v="5"/>
    <n v="100913.17"/>
    <n v="97655.64"/>
    <n v="99105.21"/>
    <n v="98170.91"/>
    <n v="-3257.5299999999988"/>
    <n v="-3.2280523939541277E-2"/>
    <n v="1449.570000000007"/>
    <n v="1.0148436895196222"/>
  </r>
  <r>
    <s v="AP-103"/>
    <x v="2"/>
    <s v="NASA"/>
    <s v="Space Systems"/>
    <s v="Elena Torres"/>
    <x v="18"/>
    <x v="0"/>
    <n v="607325.73"/>
    <n v="627467.38"/>
    <n v="597264.98"/>
    <n v="627832.59"/>
    <n v="20141.650000000023"/>
    <n v="3.3164493129576485E-2"/>
    <n v="-30202.400000000023"/>
    <n v="0.95186618306755644"/>
  </r>
  <r>
    <s v="AP-103"/>
    <x v="2"/>
    <s v="NASA"/>
    <s v="Space Systems"/>
    <s v="Elena Torres"/>
    <x v="18"/>
    <x v="1"/>
    <n v="494641.26"/>
    <n v="557743.17000000004"/>
    <n v="508886.14"/>
    <n v="532837.42000000004"/>
    <n v="63101.910000000033"/>
    <n v="0.12757106028720699"/>
    <n v="-48857.030000000028"/>
    <n v="0.91240228006736501"/>
  </r>
  <r>
    <s v="AP-103"/>
    <x v="2"/>
    <s v="NASA"/>
    <s v="Space Systems"/>
    <s v="Elena Torres"/>
    <x v="18"/>
    <x v="2"/>
    <n v="374756.78"/>
    <n v="380569.67"/>
    <n v="367502.65"/>
    <n v="375041.21"/>
    <n v="5812.8899999999558"/>
    <n v="1.5511100292835143E-2"/>
    <n v="-13067.01999999996"/>
    <n v="0.96566457857768861"/>
  </r>
  <r>
    <s v="AP-103"/>
    <x v="2"/>
    <s v="NASA"/>
    <s v="Space Systems"/>
    <s v="Elena Torres"/>
    <x v="18"/>
    <x v="3"/>
    <n v="281786.40000000002"/>
    <n v="291013.76000000001"/>
    <n v="281146.86"/>
    <n v="291526.24"/>
    <n v="9227.359999999986"/>
    <n v="3.274593805804675E-2"/>
    <n v="-9866.9000000000233"/>
    <n v="0.96609473036601423"/>
  </r>
  <r>
    <s v="AP-103"/>
    <x v="2"/>
    <s v="NASA"/>
    <s v="Space Systems"/>
    <s v="Elena Torres"/>
    <x v="18"/>
    <x v="4"/>
    <n v="63908.76"/>
    <n v="65216.26"/>
    <n v="65525.15"/>
    <n v="65282.080000000002"/>
    <n v="1307.5"/>
    <n v="2.0458854153953231E-2"/>
    <n v="308.88999999999942"/>
    <n v="1.0047363954940072"/>
  </r>
  <r>
    <s v="AP-103"/>
    <x v="2"/>
    <s v="NASA"/>
    <s v="Space Systems"/>
    <s v="Elena Torres"/>
    <x v="18"/>
    <x v="5"/>
    <n v="101657.17"/>
    <n v="99443.05"/>
    <n v="103034.24000000001"/>
    <n v="101189.92"/>
    <n v="-2214.1199999999953"/>
    <n v="-2.1780263999086294E-2"/>
    <n v="3591.1900000000023"/>
    <n v="1.0361130315291014"/>
  </r>
  <r>
    <s v="AP-103"/>
    <x v="2"/>
    <s v="NASA"/>
    <s v="Space Systems"/>
    <s v="Elena Torres"/>
    <x v="19"/>
    <x v="0"/>
    <n v="639108.07999999996"/>
    <n v="644857.13"/>
    <n v="625230.68000000005"/>
    <n v="652018.23"/>
    <n v="5749.0500000000466"/>
    <n v="8.9954268767812283E-3"/>
    <n v="-19626.449999999953"/>
    <n v="0.96956465380168788"/>
  </r>
  <r>
    <s v="AP-103"/>
    <x v="2"/>
    <s v="NASA"/>
    <s v="Space Systems"/>
    <s v="Elena Torres"/>
    <x v="19"/>
    <x v="1"/>
    <n v="501571.56"/>
    <n v="534439.17000000004"/>
    <n v="504819.11"/>
    <n v="522820.92"/>
    <n v="32867.610000000044"/>
    <n v="6.5529253692135261E-2"/>
    <n v="-29620.060000000056"/>
    <n v="0.94457730334398948"/>
  </r>
  <r>
    <s v="AP-103"/>
    <x v="2"/>
    <s v="NASA"/>
    <s v="Space Systems"/>
    <s v="Elena Torres"/>
    <x v="19"/>
    <x v="2"/>
    <n v="369063.9"/>
    <n v="406021.37"/>
    <n v="377092.09"/>
    <n v="391000.39"/>
    <n v="36957.469999999972"/>
    <n v="0.10013840421672228"/>
    <n v="-28929.27999999997"/>
    <n v="0.92874936607400749"/>
  </r>
  <r>
    <s v="AP-103"/>
    <x v="2"/>
    <s v="NASA"/>
    <s v="Space Systems"/>
    <s v="Elena Torres"/>
    <x v="19"/>
    <x v="3"/>
    <n v="277201.28999999998"/>
    <n v="272763.63"/>
    <n v="279862.98"/>
    <n v="278190.25"/>
    <n v="-4437.6599999999744"/>
    <n v="-1.6008799959047717E-2"/>
    <n v="7099.3499999999767"/>
    <n v="1.0260274802766043"/>
  </r>
  <r>
    <s v="AP-103"/>
    <x v="2"/>
    <s v="NASA"/>
    <s v="Space Systems"/>
    <s v="Elena Torres"/>
    <x v="19"/>
    <x v="4"/>
    <n v="66641.31"/>
    <n v="66406.600000000006"/>
    <n v="65020.29"/>
    <n v="66429.460000000006"/>
    <n v="-234.70999999999185"/>
    <n v="-3.5219895887399553E-3"/>
    <n v="-1386.3100000000049"/>
    <n v="0.97912391238220287"/>
  </r>
  <r>
    <s v="AP-103"/>
    <x v="2"/>
    <s v="NASA"/>
    <s v="Space Systems"/>
    <s v="Elena Torres"/>
    <x v="19"/>
    <x v="5"/>
    <n v="103883.39"/>
    <n v="105872.24"/>
    <n v="105723.02"/>
    <n v="106412.49"/>
    <n v="1988.8500000000058"/>
    <n v="1.9145024050524397E-2"/>
    <n v="-149.22000000000116"/>
    <n v="0.99859056538333368"/>
  </r>
  <r>
    <s v="AP-103"/>
    <x v="2"/>
    <s v="NASA"/>
    <s v="Space Systems"/>
    <s v="Elena Torres"/>
    <x v="20"/>
    <x v="0"/>
    <n v="642703.79"/>
    <n v="656750.36"/>
    <n v="627959.75"/>
    <n v="660819.42000000004"/>
    <n v="14046.569999999949"/>
    <n v="2.1855433589398857E-2"/>
    <n v="-28790.609999999986"/>
    <n v="0.95616201870068263"/>
  </r>
  <r>
    <s v="AP-103"/>
    <x v="2"/>
    <s v="NASA"/>
    <s v="Space Systems"/>
    <s v="Elena Torres"/>
    <x v="20"/>
    <x v="1"/>
    <n v="501435.21"/>
    <n v="539416.39"/>
    <n v="494710.13"/>
    <n v="526857.79"/>
    <n v="37981.179999999993"/>
    <n v="7.5744940208726047E-2"/>
    <n v="-44706.260000000009"/>
    <n v="0.91712105744506578"/>
  </r>
  <r>
    <s v="AP-103"/>
    <x v="2"/>
    <s v="NASA"/>
    <s v="Space Systems"/>
    <s v="Elena Torres"/>
    <x v="20"/>
    <x v="2"/>
    <n v="393119.13"/>
    <n v="414784.29"/>
    <n v="391844.92"/>
    <n v="404368.33"/>
    <n v="21665.159999999974"/>
    <n v="5.5110927824855466E-2"/>
    <n v="-22939.369999999995"/>
    <n v="0.94469566337722188"/>
  </r>
  <r>
    <s v="AP-103"/>
    <x v="2"/>
    <s v="NASA"/>
    <s v="Space Systems"/>
    <s v="Elena Torres"/>
    <x v="20"/>
    <x v="3"/>
    <n v="279984.69"/>
    <n v="288372.31"/>
    <n v="274209.34000000003"/>
    <n v="282836.42"/>
    <n v="8387.6199999999953"/>
    <n v="2.9957423743419666E-2"/>
    <n v="-14162.969999999972"/>
    <n v="0.95088651195393914"/>
  </r>
  <r>
    <s v="AP-103"/>
    <x v="2"/>
    <s v="NASA"/>
    <s v="Space Systems"/>
    <s v="Elena Torres"/>
    <x v="20"/>
    <x v="4"/>
    <n v="64427.9"/>
    <n v="64070.95"/>
    <n v="64791.31"/>
    <n v="64322.68"/>
    <n v="-356.95000000000437"/>
    <n v="-5.5403016395071756E-3"/>
    <n v="720.36000000000058"/>
    <n v="1.0112431609020938"/>
  </r>
  <r>
    <s v="AP-103"/>
    <x v="2"/>
    <s v="NASA"/>
    <s v="Space Systems"/>
    <s v="Elena Torres"/>
    <x v="20"/>
    <x v="5"/>
    <n v="105593.33"/>
    <n v="103163.75"/>
    <n v="105027.11"/>
    <n v="102886.91"/>
    <n v="-2429.5800000000017"/>
    <n v="-2.3008839668187391E-2"/>
    <n v="1863.3600000000006"/>
    <n v="1.0180621584616689"/>
  </r>
  <r>
    <s v="AP-103"/>
    <x v="2"/>
    <s v="NASA"/>
    <s v="Space Systems"/>
    <s v="Elena Torres"/>
    <x v="21"/>
    <x v="0"/>
    <n v="619831.18999999994"/>
    <n v="622849.98"/>
    <n v="637974.71"/>
    <n v="616478.43999999994"/>
    <n v="3018.7900000000373"/>
    <n v="4.870342197526455E-3"/>
    <n v="15124.729999999981"/>
    <n v="1.024283102650176"/>
  </r>
  <r>
    <s v="AP-103"/>
    <x v="2"/>
    <s v="NASA"/>
    <s v="Space Systems"/>
    <s v="Elena Torres"/>
    <x v="21"/>
    <x v="1"/>
    <n v="473725.93"/>
    <n v="555538.65"/>
    <n v="478269.19"/>
    <n v="526580.47"/>
    <n v="81812.72000000003"/>
    <n v="0.1727005317188359"/>
    <n v="-77269.460000000021"/>
    <n v="0.86091073951380337"/>
  </r>
  <r>
    <s v="AP-103"/>
    <x v="2"/>
    <s v="NASA"/>
    <s v="Space Systems"/>
    <s v="Elena Torres"/>
    <x v="21"/>
    <x v="2"/>
    <n v="391748.21"/>
    <n v="420595.13"/>
    <n v="384738.79"/>
    <n v="406352.22"/>
    <n v="28846.919999999984"/>
    <n v="7.3636379857357825E-2"/>
    <n v="-35856.340000000026"/>
    <n v="0.91474856116379655"/>
  </r>
  <r>
    <s v="AP-103"/>
    <x v="2"/>
    <s v="NASA"/>
    <s v="Space Systems"/>
    <s v="Elena Torres"/>
    <x v="21"/>
    <x v="3"/>
    <n v="284776.90999999997"/>
    <n v="286235.34000000003"/>
    <n v="276609.64"/>
    <n v="286896.53000000003"/>
    <n v="1458.4300000000512"/>
    <n v="5.1213070610255981E-3"/>
    <n v="-9625.7000000000116"/>
    <n v="0.96637137818132446"/>
  </r>
  <r>
    <s v="AP-103"/>
    <x v="2"/>
    <s v="NASA"/>
    <s v="Space Systems"/>
    <s v="Elena Torres"/>
    <x v="21"/>
    <x v="4"/>
    <n v="64440.37"/>
    <n v="65899.95"/>
    <n v="64768.32"/>
    <n v="65298.080000000002"/>
    <n v="1459.5799999999945"/>
    <n v="2.2650087204651285E-2"/>
    <n v="-1131.6299999999974"/>
    <n v="0.98282805980884658"/>
  </r>
  <r>
    <s v="AP-103"/>
    <x v="2"/>
    <s v="NASA"/>
    <s v="Space Systems"/>
    <s v="Elena Torres"/>
    <x v="21"/>
    <x v="5"/>
    <n v="101855.85"/>
    <n v="103688.46"/>
    <n v="102803.29"/>
    <n v="102257.29"/>
    <n v="1832.6100000000006"/>
    <n v="1.7992191906503165E-2"/>
    <n v="-885.17000000001281"/>
    <n v="0.99146317729089606"/>
  </r>
  <r>
    <s v="AP-103"/>
    <x v="2"/>
    <s v="NASA"/>
    <s v="Space Systems"/>
    <s v="Elena Torres"/>
    <x v="22"/>
    <x v="0"/>
    <n v="624346.67000000004"/>
    <n v="641349.29"/>
    <n v="625356.76"/>
    <n v="646213.82999999996"/>
    <n v="17002.619999999995"/>
    <n v="2.723265906103094E-2"/>
    <n v="-15992.530000000028"/>
    <n v="0.97506424307416006"/>
  </r>
  <r>
    <s v="AP-103"/>
    <x v="2"/>
    <s v="NASA"/>
    <s v="Space Systems"/>
    <s v="Elena Torres"/>
    <x v="22"/>
    <x v="1"/>
    <n v="513712.92"/>
    <n v="552471.47"/>
    <n v="514172.29"/>
    <n v="539821.23"/>
    <n v="38758.549999999988"/>
    <n v="7.5447878554426834E-2"/>
    <n v="-38299.179999999993"/>
    <n v="0.93067663747414864"/>
  </r>
  <r>
    <s v="AP-103"/>
    <x v="2"/>
    <s v="NASA"/>
    <s v="Space Systems"/>
    <s v="Elena Torres"/>
    <x v="22"/>
    <x v="2"/>
    <n v="402446.96"/>
    <n v="425120.15"/>
    <n v="405898.62"/>
    <n v="413095.71"/>
    <n v="22673.190000000002"/>
    <n v="5.6338330894585467E-2"/>
    <n v="-19221.530000000028"/>
    <n v="0.95478565295011297"/>
  </r>
  <r>
    <s v="AP-103"/>
    <x v="2"/>
    <s v="NASA"/>
    <s v="Space Systems"/>
    <s v="Elena Torres"/>
    <x v="22"/>
    <x v="3"/>
    <n v="279385.84999999998"/>
    <n v="281153.25"/>
    <n v="286460.59999999998"/>
    <n v="285466.28000000003"/>
    <n v="1767.4000000000233"/>
    <n v="6.3260183004974066E-3"/>
    <n v="5307.3499999999767"/>
    <n v="1.0188770714903703"/>
  </r>
  <r>
    <s v="AP-103"/>
    <x v="2"/>
    <s v="NASA"/>
    <s v="Space Systems"/>
    <s v="Elena Torres"/>
    <x v="22"/>
    <x v="4"/>
    <n v="66116.38"/>
    <n v="66231.11"/>
    <n v="67357.570000000007"/>
    <n v="65720.98"/>
    <n v="114.72999999999593"/>
    <n v="1.735273467785077E-3"/>
    <n v="1126.4600000000064"/>
    <n v="1.0170080193431759"/>
  </r>
  <r>
    <s v="AP-103"/>
    <x v="2"/>
    <s v="NASA"/>
    <s v="Space Systems"/>
    <s v="Elena Torres"/>
    <x v="22"/>
    <x v="5"/>
    <n v="107580.73"/>
    <n v="109529.38"/>
    <n v="105246.41"/>
    <n v="110399.31"/>
    <n v="1948.6500000000087"/>
    <n v="1.8113374021537211E-2"/>
    <n v="-4282.9700000000012"/>
    <n v="0.96089661057151976"/>
  </r>
  <r>
    <s v="AP-103"/>
    <x v="2"/>
    <s v="NASA"/>
    <s v="Space Systems"/>
    <s v="Elena Torres"/>
    <x v="23"/>
    <x v="0"/>
    <n v="639996.92000000004"/>
    <n v="617985.43000000005"/>
    <n v="633227.39"/>
    <n v="625404.81000000006"/>
    <n v="-22011.489999999991"/>
    <n v="-3.4393118641883449E-2"/>
    <n v="15241.959999999963"/>
    <n v="1.0246639471742884"/>
  </r>
  <r>
    <s v="AP-103"/>
    <x v="2"/>
    <s v="NASA"/>
    <s v="Space Systems"/>
    <s v="Elena Torres"/>
    <x v="23"/>
    <x v="1"/>
    <n v="494236.17"/>
    <n v="554017.73"/>
    <n v="482906.44"/>
    <n v="539640.06000000006"/>
    <n v="59781.56"/>
    <n v="0.12095747666545732"/>
    <n v="-71111.289999999979"/>
    <n v="0.87164437860138522"/>
  </r>
  <r>
    <s v="AP-103"/>
    <x v="2"/>
    <s v="NASA"/>
    <s v="Space Systems"/>
    <s v="Elena Torres"/>
    <x v="23"/>
    <x v="2"/>
    <n v="409535.69"/>
    <n v="425821.33"/>
    <n v="412519.22"/>
    <n v="416189.18"/>
    <n v="16285.640000000014"/>
    <n v="3.9766106831861256E-2"/>
    <n v="-13302.110000000044"/>
    <n v="0.96876128774479187"/>
  </r>
  <r>
    <s v="AP-103"/>
    <x v="2"/>
    <s v="NASA"/>
    <s v="Space Systems"/>
    <s v="Elena Torres"/>
    <x v="23"/>
    <x v="3"/>
    <n v="296546.99"/>
    <n v="306512.23"/>
    <n v="290516.17"/>
    <n v="301682.37"/>
    <n v="9965.2399999999907"/>
    <n v="3.3604252735797424E-2"/>
    <n v="-15996.059999999998"/>
    <n v="0.94781265334828568"/>
  </r>
  <r>
    <s v="AP-103"/>
    <x v="2"/>
    <s v="NASA"/>
    <s v="Space Systems"/>
    <s v="Elena Torres"/>
    <x v="23"/>
    <x v="4"/>
    <n v="69731.33"/>
    <n v="71008.350000000006"/>
    <n v="68525.89"/>
    <n v="70004.639999999999"/>
    <n v="1277.0200000000041"/>
    <n v="1.8313432427002382E-2"/>
    <n v="-2482.4600000000064"/>
    <n v="0.96503988615423386"/>
  </r>
  <r>
    <s v="AP-103"/>
    <x v="2"/>
    <s v="NASA"/>
    <s v="Space Systems"/>
    <s v="Elena Torres"/>
    <x v="23"/>
    <x v="5"/>
    <n v="105760.21"/>
    <n v="104759.71"/>
    <n v="105919.79"/>
    <n v="106696.28"/>
    <n v="-1000.5"/>
    <n v="-9.4600795516574712E-3"/>
    <n v="1160.0799999999872"/>
    <n v="1.0110737229035855"/>
  </r>
  <r>
    <s v="AP-104"/>
    <x v="3"/>
    <s v="Commercial"/>
    <s v="Satellite Systems"/>
    <s v="David Kim"/>
    <x v="0"/>
    <x v="0"/>
    <n v="354684.69"/>
    <n v="359570.9"/>
    <n v="355040.32"/>
    <n v="355465.5"/>
    <n v="4886.210000000021"/>
    <n v="1.3776207819965448E-2"/>
    <n v="-4530.5800000000163"/>
    <n v="0.98740003709977642"/>
  </r>
  <r>
    <s v="AP-104"/>
    <x v="3"/>
    <s v="Commercial"/>
    <s v="Satellite Systems"/>
    <s v="David Kim"/>
    <x v="0"/>
    <x v="1"/>
    <n v="282812.53999999998"/>
    <n v="273564.81"/>
    <n v="283249.96000000002"/>
    <n v="276818.89"/>
    <n v="-9247.7299999999814"/>
    <n v="-3.2699151176252585E-2"/>
    <n v="9685.1500000000233"/>
    <n v="1.0354034935999261"/>
  </r>
  <r>
    <s v="AP-104"/>
    <x v="3"/>
    <s v="Commercial"/>
    <s v="Satellite Systems"/>
    <s v="David Kim"/>
    <x v="0"/>
    <x v="2"/>
    <n v="224324.56"/>
    <n v="216484.06"/>
    <n v="226291.85"/>
    <n v="220481.04"/>
    <n v="-7840.5"/>
    <n v="-3.4951589785799646E-2"/>
    <n v="9807.7900000000081"/>
    <n v="1.0453049060517434"/>
  </r>
  <r>
    <s v="AP-104"/>
    <x v="3"/>
    <s v="Commercial"/>
    <s v="Satellite Systems"/>
    <s v="David Kim"/>
    <x v="0"/>
    <x v="3"/>
    <n v="159604.14000000001"/>
    <n v="163146.14000000001"/>
    <n v="157804.23000000001"/>
    <n v="160867.68"/>
    <n v="3542"/>
    <n v="2.219240678844546E-2"/>
    <n v="-5341.9100000000035"/>
    <n v="0.9672569023085682"/>
  </r>
  <r>
    <s v="AP-104"/>
    <x v="3"/>
    <s v="Commercial"/>
    <s v="Satellite Systems"/>
    <s v="David Kim"/>
    <x v="0"/>
    <x v="4"/>
    <n v="38503.89"/>
    <n v="38719.589999999997"/>
    <n v="37438.019999999997"/>
    <n v="38307.370000000003"/>
    <n v="215.69999999999709"/>
    <n v="5.6020313791670688E-3"/>
    <n v="-1281.5699999999997"/>
    <n v="0.96690125076221112"/>
  </r>
  <r>
    <s v="AP-104"/>
    <x v="3"/>
    <s v="Commercial"/>
    <s v="Satellite Systems"/>
    <s v="David Kim"/>
    <x v="0"/>
    <x v="5"/>
    <n v="62665.77"/>
    <n v="64011.69"/>
    <n v="63033.22"/>
    <n v="64433.27"/>
    <n v="1345.9200000000055"/>
    <n v="2.1477754123184086E-2"/>
    <n v="-978.47000000000116"/>
    <n v="0.98471419829721729"/>
  </r>
  <r>
    <s v="AP-104"/>
    <x v="3"/>
    <s v="Commercial"/>
    <s v="Satellite Systems"/>
    <s v="David Kim"/>
    <x v="1"/>
    <x v="0"/>
    <n v="362011.2"/>
    <n v="367222.26"/>
    <n v="355922.91"/>
    <n v="364686.27"/>
    <n v="5211.0599999999977"/>
    <n v="1.4394748007796438E-2"/>
    <n v="-11299.350000000035"/>
    <n v="0.9692302149657267"/>
  </r>
  <r>
    <s v="AP-104"/>
    <x v="3"/>
    <s v="Commercial"/>
    <s v="Satellite Systems"/>
    <s v="David Kim"/>
    <x v="1"/>
    <x v="1"/>
    <n v="283714.76"/>
    <n v="291619.83"/>
    <n v="282455.87"/>
    <n v="289092.46000000002"/>
    <n v="7905.070000000007"/>
    <n v="2.7862737913247823E-2"/>
    <n v="-9163.960000000021"/>
    <n v="0.96857566236150672"/>
  </r>
  <r>
    <s v="AP-104"/>
    <x v="3"/>
    <s v="Commercial"/>
    <s v="Satellite Systems"/>
    <s v="David Kim"/>
    <x v="1"/>
    <x v="2"/>
    <n v="228392.81"/>
    <n v="222098.11"/>
    <n v="229088.23"/>
    <n v="228303.47"/>
    <n v="-6294.7000000000116"/>
    <n v="-2.7560850098564887E-2"/>
    <n v="6990.1200000000244"/>
    <n v="1.0314731178937093"/>
  </r>
  <r>
    <s v="AP-104"/>
    <x v="3"/>
    <s v="Commercial"/>
    <s v="Satellite Systems"/>
    <s v="David Kim"/>
    <x v="1"/>
    <x v="3"/>
    <n v="171615.88"/>
    <n v="172121.83"/>
    <n v="172933.9"/>
    <n v="173784.11"/>
    <n v="505.94999999998254"/>
    <n v="2.9481537489420124E-3"/>
    <n v="812.07000000000698"/>
    <n v="1.0047179953873371"/>
  </r>
  <r>
    <s v="AP-104"/>
    <x v="3"/>
    <s v="Commercial"/>
    <s v="Satellite Systems"/>
    <s v="David Kim"/>
    <x v="1"/>
    <x v="4"/>
    <n v="40809.24"/>
    <n v="39841.11"/>
    <n v="41515.980000000003"/>
    <n v="40695.11"/>
    <n v="-968.12999999999738"/>
    <n v="-2.372330384001264E-2"/>
    <n v="1674.8700000000026"/>
    <n v="1.0420387383785241"/>
  </r>
  <r>
    <s v="AP-104"/>
    <x v="3"/>
    <s v="Commercial"/>
    <s v="Satellite Systems"/>
    <s v="David Kim"/>
    <x v="1"/>
    <x v="5"/>
    <n v="61196.11"/>
    <n v="62254.91"/>
    <n v="62746.96"/>
    <n v="62942.14"/>
    <n v="1058.8000000000029"/>
    <n v="1.7301753330399645E-2"/>
    <n v="492.04999999999563"/>
    <n v="1.0079037942549431"/>
  </r>
  <r>
    <s v="AP-104"/>
    <x v="3"/>
    <s v="Commercial"/>
    <s v="Satellite Systems"/>
    <s v="David Kim"/>
    <x v="2"/>
    <x v="0"/>
    <n v="365890.44"/>
    <n v="363644.36"/>
    <n v="364305.75"/>
    <n v="362316.65"/>
    <n v="-2246.0800000000163"/>
    <n v="-6.1386681761896166E-3"/>
    <n v="661.39000000001397"/>
    <n v="1.0018187825049727"/>
  </r>
  <r>
    <s v="AP-104"/>
    <x v="3"/>
    <s v="Commercial"/>
    <s v="Satellite Systems"/>
    <s v="David Kim"/>
    <x v="2"/>
    <x v="1"/>
    <n v="300612.01"/>
    <n v="295084.5"/>
    <n v="299282.06"/>
    <n v="294120.2"/>
    <n v="-5527.5100000000093"/>
    <n v="-1.8387522175178594E-2"/>
    <n v="4197.5599999999977"/>
    <n v="1.0142249423470227"/>
  </r>
  <r>
    <s v="AP-104"/>
    <x v="3"/>
    <s v="Commercial"/>
    <s v="Satellite Systems"/>
    <s v="David Kim"/>
    <x v="2"/>
    <x v="2"/>
    <n v="234013"/>
    <n v="238688.32"/>
    <n v="227077.34"/>
    <n v="238866.5"/>
    <n v="4675.320000000007"/>
    <n v="1.9978890061663271E-2"/>
    <n v="-11610.98000000001"/>
    <n v="0.95135505583180602"/>
  </r>
  <r>
    <s v="AP-104"/>
    <x v="3"/>
    <s v="Commercial"/>
    <s v="Satellite Systems"/>
    <s v="David Kim"/>
    <x v="2"/>
    <x v="3"/>
    <n v="173498.54"/>
    <n v="175343.56"/>
    <n v="171361.04"/>
    <n v="176396.35"/>
    <n v="1845.0199999999895"/>
    <n v="1.0634210524192247E-2"/>
    <n v="-3982.5199999999895"/>
    <n v="0.97728733236624155"/>
  </r>
  <r>
    <s v="AP-104"/>
    <x v="3"/>
    <s v="Commercial"/>
    <s v="Satellite Systems"/>
    <s v="David Kim"/>
    <x v="2"/>
    <x v="4"/>
    <n v="39009.839999999997"/>
    <n v="38780.519999999997"/>
    <n v="39419.980000000003"/>
    <n v="39166.53"/>
    <n v="-229.31999999999971"/>
    <n v="-5.8785168049907341E-3"/>
    <n v="639.4600000000064"/>
    <n v="1.0164892064366338"/>
  </r>
  <r>
    <s v="AP-104"/>
    <x v="3"/>
    <s v="Commercial"/>
    <s v="Satellite Systems"/>
    <s v="David Kim"/>
    <x v="2"/>
    <x v="5"/>
    <n v="60020.69"/>
    <n v="58772.06"/>
    <n v="58659.73"/>
    <n v="58606.11"/>
    <n v="-1248.6300000000047"/>
    <n v="-2.0803326319640852E-2"/>
    <n v="-112.32999999999447"/>
    <n v="0.99808871766618368"/>
  </r>
  <r>
    <s v="AP-104"/>
    <x v="3"/>
    <s v="Commercial"/>
    <s v="Satellite Systems"/>
    <s v="David Kim"/>
    <x v="3"/>
    <x v="0"/>
    <n v="386096.81"/>
    <n v="395559.19"/>
    <n v="392791.85"/>
    <n v="396646.09"/>
    <n v="9462.3800000000047"/>
    <n v="2.4507791193612828E-2"/>
    <n v="-2767.3400000000256"/>
    <n v="0.99300398001118362"/>
  </r>
  <r>
    <s v="AP-104"/>
    <x v="3"/>
    <s v="Commercial"/>
    <s v="Satellite Systems"/>
    <s v="David Kim"/>
    <x v="3"/>
    <x v="1"/>
    <n v="308000.64000000001"/>
    <n v="311203.49"/>
    <n v="304165.89"/>
    <n v="309780.76"/>
    <n v="3202.8499999999767"/>
    <n v="1.0398842028380125E-2"/>
    <n v="-7037.5999999999767"/>
    <n v="0.97738585772286812"/>
  </r>
  <r>
    <s v="AP-104"/>
    <x v="3"/>
    <s v="Commercial"/>
    <s v="Satellite Systems"/>
    <s v="David Kim"/>
    <x v="3"/>
    <x v="2"/>
    <n v="233224.62"/>
    <n v="228158.66"/>
    <n v="227935.75"/>
    <n v="233097.54"/>
    <n v="-5065.9599999999919"/>
    <n v="-2.1721377442913154E-2"/>
    <n v="-222.91000000000349"/>
    <n v="0.99902300443033809"/>
  </r>
  <r>
    <s v="AP-104"/>
    <x v="3"/>
    <s v="Commercial"/>
    <s v="Satellite Systems"/>
    <s v="David Kim"/>
    <x v="3"/>
    <x v="3"/>
    <n v="173606.17"/>
    <n v="172776.47"/>
    <n v="175762.61"/>
    <n v="172783.16"/>
    <n v="-829.70000000001164"/>
    <n v="-4.7792080200836848E-3"/>
    <n v="2986.1399999999849"/>
    <n v="1.017283256221174"/>
  </r>
  <r>
    <s v="AP-104"/>
    <x v="3"/>
    <s v="Commercial"/>
    <s v="Satellite Systems"/>
    <s v="David Kim"/>
    <x v="3"/>
    <x v="4"/>
    <n v="40515.379999999997"/>
    <n v="41149.040000000001"/>
    <n v="40842.449999999997"/>
    <n v="41420.93"/>
    <n v="633.66000000000349"/>
    <n v="1.5639986592745854E-2"/>
    <n v="-306.59000000000378"/>
    <n v="0.99254927939995674"/>
  </r>
  <r>
    <s v="AP-104"/>
    <x v="3"/>
    <s v="Commercial"/>
    <s v="Satellite Systems"/>
    <s v="David Kim"/>
    <x v="3"/>
    <x v="5"/>
    <n v="62477.53"/>
    <n v="61442.95"/>
    <n v="62744.05"/>
    <n v="62879.76"/>
    <n v="-1034.5800000000017"/>
    <n v="-1.6559233375583217E-2"/>
    <n v="1301.1000000000058"/>
    <n v="1.0211757410736302"/>
  </r>
  <r>
    <s v="AP-104"/>
    <x v="3"/>
    <s v="Commercial"/>
    <s v="Satellite Systems"/>
    <s v="David Kim"/>
    <x v="4"/>
    <x v="0"/>
    <n v="387079.65"/>
    <n v="395526.16"/>
    <n v="380138.5"/>
    <n v="388234.63"/>
    <n v="8446.5099999999511"/>
    <n v="2.1821116144958668E-2"/>
    <n v="-15387.659999999974"/>
    <n v="0.96109572120337128"/>
  </r>
  <r>
    <s v="AP-104"/>
    <x v="3"/>
    <s v="Commercial"/>
    <s v="Satellite Systems"/>
    <s v="David Kim"/>
    <x v="4"/>
    <x v="1"/>
    <n v="294498.57"/>
    <n v="294207.17"/>
    <n v="287822.53000000003"/>
    <n v="298858.25"/>
    <n v="-291.40000000002328"/>
    <n v="-9.8947848880903992E-4"/>
    <n v="-6384.6399999999558"/>
    <n v="0.97829882935891754"/>
  </r>
  <r>
    <s v="AP-104"/>
    <x v="3"/>
    <s v="Commercial"/>
    <s v="Satellite Systems"/>
    <s v="David Kim"/>
    <x v="4"/>
    <x v="2"/>
    <n v="227737.07"/>
    <n v="223720.46"/>
    <n v="232482.14"/>
    <n v="227698.5"/>
    <n v="-4016.6100000000151"/>
    <n v="-1.7637049602860066E-2"/>
    <n v="8761.6800000000221"/>
    <n v="1.0391635168280988"/>
  </r>
  <r>
    <s v="AP-104"/>
    <x v="3"/>
    <s v="Commercial"/>
    <s v="Satellite Systems"/>
    <s v="David Kim"/>
    <x v="4"/>
    <x v="3"/>
    <n v="174563.35"/>
    <n v="168767"/>
    <n v="172016.96"/>
    <n v="169193.63"/>
    <n v="-5796.3500000000058"/>
    <n v="-3.3204850846411949E-2"/>
    <n v="3249.9599999999919"/>
    <n v="1.019257082249492"/>
  </r>
  <r>
    <s v="AP-104"/>
    <x v="3"/>
    <s v="Commercial"/>
    <s v="Satellite Systems"/>
    <s v="David Kim"/>
    <x v="4"/>
    <x v="4"/>
    <n v="40693.949999999997"/>
    <n v="40382.97"/>
    <n v="40231.56"/>
    <n v="40711.68"/>
    <n v="-310.97999999999593"/>
    <n v="-7.641922202194576E-3"/>
    <n v="-151.41000000000349"/>
    <n v="0.99625064724065604"/>
  </r>
  <r>
    <s v="AP-104"/>
    <x v="3"/>
    <s v="Commercial"/>
    <s v="Satellite Systems"/>
    <s v="David Kim"/>
    <x v="4"/>
    <x v="5"/>
    <n v="64208.44"/>
    <n v="63529.99"/>
    <n v="65933.33"/>
    <n v="64840.86"/>
    <n v="-678.45000000000437"/>
    <n v="-1.056636791051152E-2"/>
    <n v="2403.3400000000038"/>
    <n v="1.0378300075287279"/>
  </r>
  <r>
    <s v="AP-104"/>
    <x v="3"/>
    <s v="Commercial"/>
    <s v="Satellite Systems"/>
    <s v="David Kim"/>
    <x v="5"/>
    <x v="0"/>
    <n v="376953.25"/>
    <n v="376032.86"/>
    <n v="377620.14"/>
    <n v="377821.4"/>
    <n v="-920.39000000001397"/>
    <n v="-2.441655563388866E-3"/>
    <n v="1587.2800000000279"/>
    <n v="1.0042211204627172"/>
  </r>
  <r>
    <s v="AP-104"/>
    <x v="3"/>
    <s v="Commercial"/>
    <s v="Satellite Systems"/>
    <s v="David Kim"/>
    <x v="5"/>
    <x v="1"/>
    <n v="297805.98"/>
    <n v="293349.19"/>
    <n v="304127.62"/>
    <n v="300015.03999999998"/>
    <n v="-4456.789999999979"/>
    <n v="-1.4965414730758526E-2"/>
    <n v="10778.429999999993"/>
    <n v="1.0367426615358986"/>
  </r>
  <r>
    <s v="AP-104"/>
    <x v="3"/>
    <s v="Commercial"/>
    <s v="Satellite Systems"/>
    <s v="David Kim"/>
    <x v="5"/>
    <x v="2"/>
    <n v="242310.96"/>
    <n v="238596.75"/>
    <n v="244589.7"/>
    <n v="238763.16"/>
    <n v="-3714.2099999999919"/>
    <n v="-1.5328279001494576E-2"/>
    <n v="5992.9500000000116"/>
    <n v="1.0251174837880233"/>
  </r>
  <r>
    <s v="AP-104"/>
    <x v="3"/>
    <s v="Commercial"/>
    <s v="Satellite Systems"/>
    <s v="David Kim"/>
    <x v="5"/>
    <x v="3"/>
    <n v="177832.98"/>
    <n v="176022.12"/>
    <n v="181585.95"/>
    <n v="175857.57"/>
    <n v="-1810.8600000000151"/>
    <n v="-1.0182925574322687E-2"/>
    <n v="5563.8300000000163"/>
    <n v="1.0316086978159338"/>
  </r>
  <r>
    <s v="AP-104"/>
    <x v="3"/>
    <s v="Commercial"/>
    <s v="Satellite Systems"/>
    <s v="David Kim"/>
    <x v="5"/>
    <x v="4"/>
    <n v="41201.1"/>
    <n v="41175.07"/>
    <n v="41120.86"/>
    <n v="41576.28"/>
    <n v="-26.029999999998836"/>
    <n v="-6.3177924861226615E-4"/>
    <n v="-54.209999999999127"/>
    <n v="0.99868342664626919"/>
  </r>
  <r>
    <s v="AP-104"/>
    <x v="3"/>
    <s v="Commercial"/>
    <s v="Satellite Systems"/>
    <s v="David Kim"/>
    <x v="5"/>
    <x v="5"/>
    <n v="63984.03"/>
    <n v="65795.56"/>
    <n v="63472.480000000003"/>
    <n v="65528.87"/>
    <n v="1811.5299999999988"/>
    <n v="2.831222103390485E-2"/>
    <n v="-2323.0799999999945"/>
    <n v="0.96469245037203122"/>
  </r>
  <r>
    <s v="AP-104"/>
    <x v="3"/>
    <s v="Commercial"/>
    <s v="Satellite Systems"/>
    <s v="David Kim"/>
    <x v="6"/>
    <x v="0"/>
    <n v="400370.22"/>
    <n v="410741.3"/>
    <n v="407465.84"/>
    <n v="403964.46"/>
    <n v="10371.080000000016"/>
    <n v="2.5903724807504455E-2"/>
    <n v="-3275.4599999999627"/>
    <n v="0.99202549147115238"/>
  </r>
  <r>
    <s v="AP-104"/>
    <x v="3"/>
    <s v="Commercial"/>
    <s v="Satellite Systems"/>
    <s v="David Kim"/>
    <x v="6"/>
    <x v="1"/>
    <n v="316130.48"/>
    <n v="309806.34000000003"/>
    <n v="322763.42"/>
    <n v="309818.03000000003"/>
    <n v="-6324.1399999999558"/>
    <n v="-2.000484103905437E-2"/>
    <n v="12957.079999999958"/>
    <n v="1.0418231595906009"/>
  </r>
  <r>
    <s v="AP-104"/>
    <x v="3"/>
    <s v="Commercial"/>
    <s v="Satellite Systems"/>
    <s v="David Kim"/>
    <x v="6"/>
    <x v="2"/>
    <n v="247811.59"/>
    <n v="246006.93"/>
    <n v="247691.07"/>
    <n v="244292.22"/>
    <n v="-1804.6600000000035"/>
    <n v="-7.2823873976193103E-3"/>
    <n v="1684.140000000014"/>
    <n v="1.0068459047068308"/>
  </r>
  <r>
    <s v="AP-104"/>
    <x v="3"/>
    <s v="Commercial"/>
    <s v="Satellite Systems"/>
    <s v="David Kim"/>
    <x v="6"/>
    <x v="3"/>
    <n v="178834.36"/>
    <n v="177467.04"/>
    <n v="179891.24"/>
    <n v="180334.91"/>
    <n v="-1367.3199999999779"/>
    <n v="-7.6457342984870358E-3"/>
    <n v="2424.1999999999825"/>
    <n v="1.0136600013163006"/>
  </r>
  <r>
    <s v="AP-104"/>
    <x v="3"/>
    <s v="Commercial"/>
    <s v="Satellite Systems"/>
    <s v="David Kim"/>
    <x v="6"/>
    <x v="4"/>
    <n v="41046.65"/>
    <n v="41469.26"/>
    <n v="40959.89"/>
    <n v="42036.98"/>
    <n v="422.61000000000058"/>
    <n v="1.0295846311452958E-2"/>
    <n v="-509.37000000000262"/>
    <n v="0.9877169257421039"/>
  </r>
  <r>
    <s v="AP-104"/>
    <x v="3"/>
    <s v="Commercial"/>
    <s v="Satellite Systems"/>
    <s v="David Kim"/>
    <x v="6"/>
    <x v="5"/>
    <n v="64298.28"/>
    <n v="65351.21"/>
    <n v="66118.179999999993"/>
    <n v="65559.850000000006"/>
    <n v="1052.9300000000003"/>
    <n v="1.6375710205622923E-2"/>
    <n v="766.96999999999389"/>
    <n v="1.0117361254673019"/>
  </r>
  <r>
    <s v="AP-104"/>
    <x v="3"/>
    <s v="Commercial"/>
    <s v="Satellite Systems"/>
    <s v="David Kim"/>
    <x v="7"/>
    <x v="0"/>
    <n v="388051.13"/>
    <n v="401181.91"/>
    <n v="396401.68"/>
    <n v="400411.33"/>
    <n v="13130.77999999997"/>
    <n v="3.3837757410988517E-2"/>
    <n v="-4780.2299999999814"/>
    <n v="0.98808463223080023"/>
  </r>
  <r>
    <s v="AP-104"/>
    <x v="3"/>
    <s v="Commercial"/>
    <s v="Satellite Systems"/>
    <s v="David Kim"/>
    <x v="7"/>
    <x v="1"/>
    <n v="299417.49"/>
    <n v="295309.09999999998"/>
    <n v="301626.77"/>
    <n v="299219.5"/>
    <n v="-4108.390000000014"/>
    <n v="-1.3721275934816013E-2"/>
    <n v="6317.6700000000419"/>
    <n v="1.0213934145612176"/>
  </r>
  <r>
    <s v="AP-104"/>
    <x v="3"/>
    <s v="Commercial"/>
    <s v="Satellite Systems"/>
    <s v="David Kim"/>
    <x v="7"/>
    <x v="2"/>
    <n v="243548.45"/>
    <n v="237006.75"/>
    <n v="244628.32"/>
    <n v="239849.39"/>
    <n v="-6541.7000000000116"/>
    <n v="-2.6859953327561768E-2"/>
    <n v="7621.570000000007"/>
    <n v="1.0321576073255299"/>
  </r>
  <r>
    <s v="AP-104"/>
    <x v="3"/>
    <s v="Commercial"/>
    <s v="Satellite Systems"/>
    <s v="David Kim"/>
    <x v="7"/>
    <x v="3"/>
    <n v="174794.61"/>
    <n v="176322.94"/>
    <n v="174848.8"/>
    <n v="174060.94"/>
    <n v="1528.3300000000163"/>
    <n v="8.7435762464301188E-3"/>
    <n v="-1474.140000000014"/>
    <n v="0.99163954503027218"/>
  </r>
  <r>
    <s v="AP-104"/>
    <x v="3"/>
    <s v="Commercial"/>
    <s v="Satellite Systems"/>
    <s v="David Kim"/>
    <x v="7"/>
    <x v="4"/>
    <n v="41322.11"/>
    <n v="41264.870000000003"/>
    <n v="40955.730000000003"/>
    <n v="41134.76"/>
    <n v="-57.239999999997963"/>
    <n v="-1.3852148401908315E-3"/>
    <n v="-309.13999999999942"/>
    <n v="0.99250839757886067"/>
  </r>
  <r>
    <s v="AP-104"/>
    <x v="3"/>
    <s v="Commercial"/>
    <s v="Satellite Systems"/>
    <s v="David Kim"/>
    <x v="7"/>
    <x v="5"/>
    <n v="66083.17"/>
    <n v="66006.12"/>
    <n v="65729.16"/>
    <n v="65864.38"/>
    <n v="-77.05000000000291"/>
    <n v="-1.1659549625116789E-3"/>
    <n v="-276.95999999999185"/>
    <n v="0.99580402544491342"/>
  </r>
  <r>
    <s v="AP-104"/>
    <x v="3"/>
    <s v="Commercial"/>
    <s v="Satellite Systems"/>
    <s v="David Kim"/>
    <x v="8"/>
    <x v="0"/>
    <n v="396685.92"/>
    <n v="408418.91"/>
    <n v="372890.22"/>
    <n v="403506.2"/>
    <n v="11732.989999999991"/>
    <n v="2.9577530757834789E-2"/>
    <n v="-35528.69"/>
    <n v="0.91300919440777117"/>
  </r>
  <r>
    <s v="AP-104"/>
    <x v="3"/>
    <s v="Commercial"/>
    <s v="Satellite Systems"/>
    <s v="David Kim"/>
    <x v="8"/>
    <x v="1"/>
    <n v="322604.93"/>
    <n v="312766.52"/>
    <n v="308912.40000000002"/>
    <n v="318079.46999999997"/>
    <n v="-9838.4099999999744"/>
    <n v="-3.0496775111279219E-2"/>
    <n v="-3854.1199999999953"/>
    <n v="0.98767732556540899"/>
  </r>
  <r>
    <s v="AP-104"/>
    <x v="3"/>
    <s v="Commercial"/>
    <s v="Satellite Systems"/>
    <s v="David Kim"/>
    <x v="8"/>
    <x v="2"/>
    <n v="253282.4"/>
    <n v="255074.02"/>
    <n v="237796.36"/>
    <n v="258644.08"/>
    <n v="1791.6199999999953"/>
    <n v="7.0736063777032884E-3"/>
    <n v="-17277.660000000003"/>
    <n v="0.93226413258394558"/>
  </r>
  <r>
    <s v="AP-104"/>
    <x v="3"/>
    <s v="Commercial"/>
    <s v="Satellite Systems"/>
    <s v="David Kim"/>
    <x v="8"/>
    <x v="3"/>
    <n v="175450.49"/>
    <n v="174759.56"/>
    <n v="168690.54"/>
    <n v="175489.03"/>
    <n v="-690.92999999999302"/>
    <n v="-3.9380340288590419E-3"/>
    <n v="-6069.0199999999895"/>
    <n v="0.96527217166259749"/>
  </r>
  <r>
    <s v="AP-104"/>
    <x v="3"/>
    <s v="Commercial"/>
    <s v="Satellite Systems"/>
    <s v="David Kim"/>
    <x v="8"/>
    <x v="4"/>
    <n v="43042.39"/>
    <n v="43698.13"/>
    <n v="39384.93"/>
    <n v="43723.31"/>
    <n v="655.73999999999796"/>
    <n v="1.5234748813901784E-2"/>
    <n v="-4313.1999999999971"/>
    <n v="0.90129554742960405"/>
  </r>
  <r>
    <s v="AP-104"/>
    <x v="3"/>
    <s v="Commercial"/>
    <s v="Satellite Systems"/>
    <s v="David Kim"/>
    <x v="8"/>
    <x v="5"/>
    <n v="63493.26"/>
    <n v="64814.87"/>
    <n v="58290.22"/>
    <n v="64540.41"/>
    <n v="1321.6100000000006"/>
    <n v="2.0814965241980024E-2"/>
    <n v="-6524.6500000000015"/>
    <n v="0.89933405713843129"/>
  </r>
  <r>
    <s v="AP-104"/>
    <x v="3"/>
    <s v="Commercial"/>
    <s v="Satellite Systems"/>
    <s v="David Kim"/>
    <x v="9"/>
    <x v="0"/>
    <n v="401075.87"/>
    <n v="398620.15999999997"/>
    <n v="379815.33"/>
    <n v="396526.17"/>
    <n v="-2455.710000000021"/>
    <n v="-6.122806640050475E-3"/>
    <n v="-18804.829999999958"/>
    <n v="0.95282519077810823"/>
  </r>
  <r>
    <s v="AP-104"/>
    <x v="3"/>
    <s v="Commercial"/>
    <s v="Satellite Systems"/>
    <s v="David Kim"/>
    <x v="9"/>
    <x v="1"/>
    <n v="308594.78000000003"/>
    <n v="306510.12"/>
    <n v="299409.31"/>
    <n v="308448.25"/>
    <n v="-2084.6600000000326"/>
    <n v="-6.7553313766358343E-3"/>
    <n v="-7100.8099999999977"/>
    <n v="0.97683335871585575"/>
  </r>
  <r>
    <s v="AP-104"/>
    <x v="3"/>
    <s v="Commercial"/>
    <s v="Satellite Systems"/>
    <s v="David Kim"/>
    <x v="9"/>
    <x v="2"/>
    <n v="247965.62"/>
    <n v="251343.41"/>
    <n v="235790.07999999999"/>
    <n v="249086.52"/>
    <n v="3377.7900000000081"/>
    <n v="1.3622009373718857E-2"/>
    <n v="-15553.330000000016"/>
    <n v="0.93811920511462776"/>
  </r>
  <r>
    <s v="AP-104"/>
    <x v="3"/>
    <s v="Commercial"/>
    <s v="Satellite Systems"/>
    <s v="David Kim"/>
    <x v="9"/>
    <x v="3"/>
    <n v="181612.19"/>
    <n v="181929.59"/>
    <n v="175799.02"/>
    <n v="179924.51"/>
    <n v="317.39999999999418"/>
    <n v="1.7476800428429071E-3"/>
    <n v="-6130.570000000007"/>
    <n v="0.96630251296669223"/>
  </r>
  <r>
    <s v="AP-104"/>
    <x v="3"/>
    <s v="Commercial"/>
    <s v="Satellite Systems"/>
    <s v="David Kim"/>
    <x v="9"/>
    <x v="4"/>
    <n v="42532.24"/>
    <n v="41581.660000000003"/>
    <n v="41157.39"/>
    <n v="41893.31"/>
    <n v="-950.57999999999447"/>
    <n v="-2.2349634065828523E-2"/>
    <n v="-424.27000000000407"/>
    <n v="0.98979670364290406"/>
  </r>
  <r>
    <s v="AP-104"/>
    <x v="3"/>
    <s v="Commercial"/>
    <s v="Satellite Systems"/>
    <s v="David Kim"/>
    <x v="9"/>
    <x v="5"/>
    <n v="66433.7"/>
    <n v="67129.570000000007"/>
    <n v="63884.959999999999"/>
    <n v="67122.98"/>
    <n v="695.8700000000099"/>
    <n v="1.0474653677275387E-2"/>
    <n v="-3244.6100000000079"/>
    <n v="0.95166645637682457"/>
  </r>
  <r>
    <s v="AP-104"/>
    <x v="3"/>
    <s v="Commercial"/>
    <s v="Satellite Systems"/>
    <s v="David Kim"/>
    <x v="10"/>
    <x v="0"/>
    <n v="405426.79"/>
    <n v="403995.84"/>
    <n v="373310.67"/>
    <n v="403881.89"/>
    <n v="-1430.9499999999534"/>
    <n v="-3.5294904907491524E-3"/>
    <n v="-30685.170000000042"/>
    <n v="0.92404582680851355"/>
  </r>
  <r>
    <s v="AP-104"/>
    <x v="3"/>
    <s v="Commercial"/>
    <s v="Satellite Systems"/>
    <s v="David Kim"/>
    <x v="10"/>
    <x v="1"/>
    <n v="323631.76"/>
    <n v="316730.34000000003"/>
    <n v="313364.12"/>
    <n v="321058.78999999998"/>
    <n v="-6901.4199999999837"/>
    <n v="-2.1324915700486207E-2"/>
    <n v="-3366.2200000000303"/>
    <n v="0.98937196859637755"/>
  </r>
  <r>
    <s v="AP-104"/>
    <x v="3"/>
    <s v="Commercial"/>
    <s v="Satellite Systems"/>
    <s v="David Kim"/>
    <x v="10"/>
    <x v="2"/>
    <n v="250726.42"/>
    <n v="255306.89"/>
    <n v="233295.3"/>
    <n v="255050.37"/>
    <n v="4580.4700000000012"/>
    <n v="1.8268796722738675E-2"/>
    <n v="-22011.590000000026"/>
    <n v="0.91378379956764966"/>
  </r>
  <r>
    <s v="AP-104"/>
    <x v="3"/>
    <s v="Commercial"/>
    <s v="Satellite Systems"/>
    <s v="David Kim"/>
    <x v="10"/>
    <x v="3"/>
    <n v="185994.06"/>
    <n v="191445.66"/>
    <n v="175275.01"/>
    <n v="192054.89"/>
    <n v="5451.6000000000058"/>
    <n v="2.9310613467978527E-2"/>
    <n v="-16170.649999999994"/>
    <n v="0.91553399539065028"/>
  </r>
  <r>
    <s v="AP-104"/>
    <x v="3"/>
    <s v="Commercial"/>
    <s v="Satellite Systems"/>
    <s v="David Kim"/>
    <x v="10"/>
    <x v="4"/>
    <n v="43169"/>
    <n v="44208.86"/>
    <n v="40988.089999999997"/>
    <n v="43645.66"/>
    <n v="1039.8600000000006"/>
    <n v="2.4088118788945786E-2"/>
    <n v="-3220.7700000000041"/>
    <n v="0.92714650411704791"/>
  </r>
  <r>
    <s v="AP-104"/>
    <x v="3"/>
    <s v="Commercial"/>
    <s v="Satellite Systems"/>
    <s v="David Kim"/>
    <x v="10"/>
    <x v="5"/>
    <n v="68964.58"/>
    <n v="68144.62"/>
    <n v="65476.99"/>
    <n v="68052.91"/>
    <n v="-819.9600000000064"/>
    <n v="-1.1889581579413756E-2"/>
    <n v="-2667.6299999999974"/>
    <n v="0.96085340266040087"/>
  </r>
  <r>
    <s v="AP-104"/>
    <x v="3"/>
    <s v="Commercial"/>
    <s v="Satellite Systems"/>
    <s v="David Kim"/>
    <x v="11"/>
    <x v="0"/>
    <n v="402008.38"/>
    <n v="400198.38"/>
    <n v="369699.69"/>
    <n v="398243.11"/>
    <n v="-1810"/>
    <n v="-4.5023937063202509E-3"/>
    <n v="-30498.690000000002"/>
    <n v="0.9237910708184276"/>
  </r>
  <r>
    <s v="AP-104"/>
    <x v="3"/>
    <s v="Commercial"/>
    <s v="Satellite Systems"/>
    <s v="David Kim"/>
    <x v="11"/>
    <x v="1"/>
    <n v="320520.17"/>
    <n v="321938.98"/>
    <n v="296294.17"/>
    <n v="320550.11"/>
    <n v="1418.8099999999977"/>
    <n v="4.4265856966193354E-3"/>
    <n v="-25644.809999999998"/>
    <n v="0.9203426376016971"/>
  </r>
  <r>
    <s v="AP-104"/>
    <x v="3"/>
    <s v="Commercial"/>
    <s v="Satellite Systems"/>
    <s v="David Kim"/>
    <x v="11"/>
    <x v="2"/>
    <n v="241728.43"/>
    <n v="237721.42"/>
    <n v="224943.28"/>
    <n v="238529.82"/>
    <n v="-4007.0099999999802"/>
    <n v="-1.6576494539760921E-2"/>
    <n v="-12778.140000000014"/>
    <n v="0.94624741851197081"/>
  </r>
  <r>
    <s v="AP-104"/>
    <x v="3"/>
    <s v="Commercial"/>
    <s v="Satellite Systems"/>
    <s v="David Kim"/>
    <x v="11"/>
    <x v="3"/>
    <n v="181546.14"/>
    <n v="178699.85"/>
    <n v="170505.12"/>
    <n v="181456.63"/>
    <n v="-2846.2900000000081"/>
    <n v="-1.5678052973200136E-2"/>
    <n v="-8194.7300000000105"/>
    <n v="0.95414249088625414"/>
  </r>
  <r>
    <s v="AP-104"/>
    <x v="3"/>
    <s v="Commercial"/>
    <s v="Satellite Systems"/>
    <s v="David Kim"/>
    <x v="11"/>
    <x v="4"/>
    <n v="42999.040000000001"/>
    <n v="43861.15"/>
    <n v="41092.410000000003"/>
    <n v="43299.06"/>
    <n v="862.11000000000058"/>
    <n v="2.0049517384574181E-2"/>
    <n v="-2768.739999999998"/>
    <n v="0.9368748881413278"/>
  </r>
  <r>
    <s v="AP-104"/>
    <x v="3"/>
    <s v="Commercial"/>
    <s v="Satellite Systems"/>
    <s v="David Kim"/>
    <x v="11"/>
    <x v="5"/>
    <n v="69651.03"/>
    <n v="69763.98"/>
    <n v="66039.789999999994"/>
    <n v="68903.8"/>
    <n v="112.94999999999709"/>
    <n v="1.6216558462954114E-3"/>
    <n v="-3724.1900000000023"/>
    <n v="0.94661729448348553"/>
  </r>
  <r>
    <s v="AP-104"/>
    <x v="3"/>
    <s v="Commercial"/>
    <s v="Satellite Systems"/>
    <s v="David Kim"/>
    <x v="12"/>
    <x v="0"/>
    <n v="372259.71"/>
    <n v="361822.09"/>
    <n v="358829.74"/>
    <n v="371343.01"/>
    <n v="-10437.619999999995"/>
    <n v="-2.8038543306231005E-2"/>
    <n v="-2992.3500000000349"/>
    <n v="0.99172977526054296"/>
  </r>
  <r>
    <s v="AP-104"/>
    <x v="3"/>
    <s v="Commercial"/>
    <s v="Satellite Systems"/>
    <s v="David Kim"/>
    <x v="12"/>
    <x v="1"/>
    <n v="302968.86"/>
    <n v="311632.15000000002"/>
    <n v="289858.14"/>
    <n v="306714.74"/>
    <n v="8663.2900000000373"/>
    <n v="2.8594654909418867E-2"/>
    <n v="-21774.010000000009"/>
    <n v="0.93012912820451932"/>
  </r>
  <r>
    <s v="AP-104"/>
    <x v="3"/>
    <s v="Commercial"/>
    <s v="Satellite Systems"/>
    <s v="David Kim"/>
    <x v="12"/>
    <x v="2"/>
    <n v="229390.28"/>
    <n v="231004.18"/>
    <n v="214674.77"/>
    <n v="234351.72"/>
    <n v="1613.8999999999942"/>
    <n v="7.0356076116215305E-3"/>
    <n v="-16329.410000000003"/>
    <n v="0.92931119255071482"/>
  </r>
  <r>
    <s v="AP-104"/>
    <x v="3"/>
    <s v="Commercial"/>
    <s v="Satellite Systems"/>
    <s v="David Kim"/>
    <x v="12"/>
    <x v="3"/>
    <n v="169914.82"/>
    <n v="171823.68"/>
    <n v="161602.35999999999"/>
    <n v="173935.78"/>
    <n v="1908.859999999986"/>
    <n v="1.1234217238967066E-2"/>
    <n v="-10221.320000000007"/>
    <n v="0.94051273957116965"/>
  </r>
  <r>
    <s v="AP-104"/>
    <x v="3"/>
    <s v="Commercial"/>
    <s v="Satellite Systems"/>
    <s v="David Kim"/>
    <x v="12"/>
    <x v="4"/>
    <n v="42417.39"/>
    <n v="41963.73"/>
    <n v="40693.78"/>
    <n v="42108.44"/>
    <n v="-453.65999999999622"/>
    <n v="-1.0695141780293323E-2"/>
    <n v="-1269.9500000000044"/>
    <n v="0.96973696094222306"/>
  </r>
  <r>
    <s v="AP-104"/>
    <x v="3"/>
    <s v="Commercial"/>
    <s v="Satellite Systems"/>
    <s v="David Kim"/>
    <x v="12"/>
    <x v="5"/>
    <n v="62703.58"/>
    <n v="62812.44"/>
    <n v="59161.31"/>
    <n v="62365.18"/>
    <n v="108.86000000000058"/>
    <n v="1.7361050198409817E-3"/>
    <n v="-3651.1300000000047"/>
    <n v="0.94187250168915582"/>
  </r>
  <r>
    <s v="AP-104"/>
    <x v="3"/>
    <s v="Commercial"/>
    <s v="Satellite Systems"/>
    <s v="David Kim"/>
    <x v="13"/>
    <x v="0"/>
    <n v="399923.78"/>
    <n v="400184.18"/>
    <n v="375442.82"/>
    <n v="401374.87"/>
    <n v="260.39999999996508"/>
    <n v="6.511240716917735E-4"/>
    <n v="-24741.359999999986"/>
    <n v="0.93817506729026623"/>
  </r>
  <r>
    <s v="AP-104"/>
    <x v="3"/>
    <s v="Commercial"/>
    <s v="Satellite Systems"/>
    <s v="David Kim"/>
    <x v="13"/>
    <x v="1"/>
    <n v="310395.69"/>
    <n v="301429.95"/>
    <n v="290177.90000000002"/>
    <n v="304712.19"/>
    <n v="-8965.7399999999907"/>
    <n v="-2.8884872724875756E-2"/>
    <n v="-11252.049999999988"/>
    <n v="0.96267109489285985"/>
  </r>
  <r>
    <s v="AP-104"/>
    <x v="3"/>
    <s v="Commercial"/>
    <s v="Satellite Systems"/>
    <s v="David Kim"/>
    <x v="13"/>
    <x v="2"/>
    <n v="232107.29"/>
    <n v="235058.13"/>
    <n v="212801.47"/>
    <n v="233899.65"/>
    <n v="2950.8399999999965"/>
    <n v="1.2713258596918678E-2"/>
    <n v="-22256.660000000003"/>
    <n v="0.90531423014383716"/>
  </r>
  <r>
    <s v="AP-104"/>
    <x v="3"/>
    <s v="Commercial"/>
    <s v="Satellite Systems"/>
    <s v="David Kim"/>
    <x v="13"/>
    <x v="3"/>
    <n v="170985.29"/>
    <n v="171211.67"/>
    <n v="161898.70000000001"/>
    <n v="171345.95"/>
    <n v="226.38000000000466"/>
    <n v="1.3239735418175719E-3"/>
    <n v="-9312.9700000000012"/>
    <n v="0.94560551859578268"/>
  </r>
  <r>
    <s v="AP-104"/>
    <x v="3"/>
    <s v="Commercial"/>
    <s v="Satellite Systems"/>
    <s v="David Kim"/>
    <x v="13"/>
    <x v="4"/>
    <n v="43127.07"/>
    <n v="43767.22"/>
    <n v="39494.69"/>
    <n v="43156.69"/>
    <n v="640.15000000000146"/>
    <n v="1.4843345490430987E-2"/>
    <n v="-4272.5299999999988"/>
    <n v="0.90238059442660512"/>
  </r>
  <r>
    <s v="AP-104"/>
    <x v="3"/>
    <s v="Commercial"/>
    <s v="Satellite Systems"/>
    <s v="David Kim"/>
    <x v="13"/>
    <x v="5"/>
    <n v="65245.120000000003"/>
    <n v="65994.69"/>
    <n v="62189.49"/>
    <n v="64962.64"/>
    <n v="749.56999999999971"/>
    <n v="1.1488522053450122E-2"/>
    <n v="-3805.2000000000044"/>
    <n v="0.94234081560198246"/>
  </r>
  <r>
    <s v="AP-104"/>
    <x v="3"/>
    <s v="Commercial"/>
    <s v="Satellite Systems"/>
    <s v="David Kim"/>
    <x v="14"/>
    <x v="0"/>
    <n v="402603.56"/>
    <n v="409454.33"/>
    <n v="380467.14"/>
    <n v="404851.20000000001"/>
    <n v="6850.7700000000186"/>
    <n v="1.701616846110357E-2"/>
    <n v="-28987.190000000002"/>
    <n v="0.9292053157674508"/>
  </r>
  <r>
    <s v="AP-104"/>
    <x v="3"/>
    <s v="Commercial"/>
    <s v="Satellite Systems"/>
    <s v="David Kim"/>
    <x v="14"/>
    <x v="1"/>
    <n v="315026.62"/>
    <n v="304471.84999999998"/>
    <n v="292885.23"/>
    <n v="309969.71000000002"/>
    <n v="-10554.770000000019"/>
    <n v="-3.3504374963614247E-2"/>
    <n v="-11586.619999999995"/>
    <n v="0.96194518475189084"/>
  </r>
  <r>
    <s v="AP-104"/>
    <x v="3"/>
    <s v="Commercial"/>
    <s v="Satellite Systems"/>
    <s v="David Kim"/>
    <x v="14"/>
    <x v="2"/>
    <n v="237894.15"/>
    <n v="239100.58"/>
    <n v="215241.48"/>
    <n v="237629.24"/>
    <n v="1206.429999999993"/>
    <n v="5.0712890586001929E-3"/>
    <n v="-23859.099999999977"/>
    <n v="0.90021312369882178"/>
  </r>
  <r>
    <s v="AP-104"/>
    <x v="3"/>
    <s v="Commercial"/>
    <s v="Satellite Systems"/>
    <s v="David Kim"/>
    <x v="14"/>
    <x v="3"/>
    <n v="183514.3"/>
    <n v="181754.9"/>
    <n v="173141.21"/>
    <n v="182157.39"/>
    <n v="-1759.3999999999942"/>
    <n v="-9.5872637718150272E-3"/>
    <n v="-8613.6900000000023"/>
    <n v="0.95260821028759057"/>
  </r>
  <r>
    <s v="AP-104"/>
    <x v="3"/>
    <s v="Commercial"/>
    <s v="Satellite Systems"/>
    <s v="David Kim"/>
    <x v="14"/>
    <x v="4"/>
    <n v="40823"/>
    <n v="39728.160000000003"/>
    <n v="38214.519999999997"/>
    <n v="40108.480000000003"/>
    <n v="-1094.8399999999965"/>
    <n v="-2.6819195061607341E-2"/>
    <n v="-1513.6400000000067"/>
    <n v="0.96190007289539692"/>
  </r>
  <r>
    <s v="AP-104"/>
    <x v="3"/>
    <s v="Commercial"/>
    <s v="Satellite Systems"/>
    <s v="David Kim"/>
    <x v="14"/>
    <x v="5"/>
    <n v="65620.740000000005"/>
    <n v="67607.62"/>
    <n v="60457.52"/>
    <n v="67883.05"/>
    <n v="1986.8799999999901"/>
    <n v="3.0278232156479644E-2"/>
    <n v="-7150.0999999999985"/>
    <n v="0.89424121127174716"/>
  </r>
  <r>
    <s v="AP-104"/>
    <x v="3"/>
    <s v="Commercial"/>
    <s v="Satellite Systems"/>
    <s v="David Kim"/>
    <x v="15"/>
    <x v="0"/>
    <n v="382778.72"/>
    <n v="380605.57"/>
    <n v="362473.76"/>
    <n v="377102.55"/>
    <n v="-2173.1499999999651"/>
    <n v="-5.6773009743069447E-3"/>
    <n v="-18131.809999999998"/>
    <n v="0.95236062887886797"/>
  </r>
  <r>
    <s v="AP-104"/>
    <x v="3"/>
    <s v="Commercial"/>
    <s v="Satellite Systems"/>
    <s v="David Kim"/>
    <x v="15"/>
    <x v="1"/>
    <n v="312710.21999999997"/>
    <n v="312797.92"/>
    <n v="296599.74"/>
    <n v="316361.98"/>
    <n v="87.700000000011642"/>
    <n v="2.8045133926231017E-4"/>
    <n v="-16198.179999999993"/>
    <n v="0.94821519273529697"/>
  </r>
  <r>
    <s v="AP-104"/>
    <x v="3"/>
    <s v="Commercial"/>
    <s v="Satellite Systems"/>
    <s v="David Kim"/>
    <x v="15"/>
    <x v="2"/>
    <n v="251064.48"/>
    <n v="249996.53"/>
    <n v="237728.72"/>
    <n v="248451.79"/>
    <n v="-1067.9500000000116"/>
    <n v="-4.2536881362111104E-3"/>
    <n v="-12267.809999999998"/>
    <n v="0.95092807888173492"/>
  </r>
  <r>
    <s v="AP-104"/>
    <x v="3"/>
    <s v="Commercial"/>
    <s v="Satellite Systems"/>
    <s v="David Kim"/>
    <x v="15"/>
    <x v="3"/>
    <n v="185885.85"/>
    <n v="190249.49"/>
    <n v="171926.36"/>
    <n v="191950.04"/>
    <n v="4363.6399999999849"/>
    <n v="2.3474836842072619E-2"/>
    <n v="-18323.130000000005"/>
    <n v="0.90368894024367685"/>
  </r>
  <r>
    <s v="AP-104"/>
    <x v="3"/>
    <s v="Commercial"/>
    <s v="Satellite Systems"/>
    <s v="David Kim"/>
    <x v="15"/>
    <x v="4"/>
    <n v="43983.69"/>
    <n v="42778.31"/>
    <n v="41192.879999999997"/>
    <n v="42964.69"/>
    <n v="-1205.3800000000047"/>
    <n v="-2.7405158594015294E-2"/>
    <n v="-1585.4300000000003"/>
    <n v="0.96293846110330206"/>
  </r>
  <r>
    <s v="AP-104"/>
    <x v="3"/>
    <s v="Commercial"/>
    <s v="Satellite Systems"/>
    <s v="David Kim"/>
    <x v="15"/>
    <x v="5"/>
    <n v="63697.120000000003"/>
    <n v="64066.64"/>
    <n v="57965.17"/>
    <n v="64509.8"/>
    <n v="369.5199999999968"/>
    <n v="5.801204198871107E-3"/>
    <n v="-6101.4700000000012"/>
    <n v="0.90476369605148632"/>
  </r>
  <r>
    <s v="AP-104"/>
    <x v="3"/>
    <s v="Commercial"/>
    <s v="Satellite Systems"/>
    <s v="David Kim"/>
    <x v="16"/>
    <x v="0"/>
    <n v="412053.85"/>
    <n v="400955.44"/>
    <n v="372038.29"/>
    <n v="412246.47"/>
    <n v="-11098.409999999974"/>
    <n v="-2.6934367923027475E-2"/>
    <n v="-28917.150000000023"/>
    <n v="0.9278793922835914"/>
  </r>
  <r>
    <s v="AP-104"/>
    <x v="3"/>
    <s v="Commercial"/>
    <s v="Satellite Systems"/>
    <s v="David Kim"/>
    <x v="16"/>
    <x v="1"/>
    <n v="319354.14"/>
    <n v="316169.19"/>
    <n v="297494.56"/>
    <n v="320369.56"/>
    <n v="-3184.9500000000116"/>
    <n v="-9.9730975775044334E-3"/>
    <n v="-18674.630000000005"/>
    <n v="0.94093469385805739"/>
  </r>
  <r>
    <s v="AP-104"/>
    <x v="3"/>
    <s v="Commercial"/>
    <s v="Satellite Systems"/>
    <s v="David Kim"/>
    <x v="16"/>
    <x v="2"/>
    <n v="244827.73"/>
    <n v="251191.39"/>
    <n v="226683.9"/>
    <n v="248140.77"/>
    <n v="6363.6600000000035"/>
    <n v="2.5992398818548874E-2"/>
    <n v="-24507.49000000002"/>
    <n v="0.90243499190000098"/>
  </r>
  <r>
    <s v="AP-104"/>
    <x v="3"/>
    <s v="Commercial"/>
    <s v="Satellite Systems"/>
    <s v="David Kim"/>
    <x v="16"/>
    <x v="3"/>
    <n v="182246.27"/>
    <n v="176946"/>
    <n v="165983.10999999999"/>
    <n v="178842.72"/>
    <n v="-5300.2699999999895"/>
    <n v="-2.9083009490399939E-2"/>
    <n v="-10962.890000000014"/>
    <n v="0.93804386649034166"/>
  </r>
  <r>
    <s v="AP-104"/>
    <x v="3"/>
    <s v="Commercial"/>
    <s v="Satellite Systems"/>
    <s v="David Kim"/>
    <x v="16"/>
    <x v="4"/>
    <n v="43557.55"/>
    <n v="44398.33"/>
    <n v="39252.410000000003"/>
    <n v="43996.03"/>
    <n v="840.77999999999884"/>
    <n v="1.9302738560823526E-2"/>
    <n v="-5145.9199999999983"/>
    <n v="0.88409654146901473"/>
  </r>
  <r>
    <s v="AP-104"/>
    <x v="3"/>
    <s v="Commercial"/>
    <s v="Satellite Systems"/>
    <s v="David Kim"/>
    <x v="16"/>
    <x v="5"/>
    <n v="65749.460000000006"/>
    <n v="66255.509999999995"/>
    <n v="60788.86"/>
    <n v="66235.91"/>
    <n v="506.04999999998836"/>
    <n v="7.6966411587256886E-3"/>
    <n v="-5466.6499999999942"/>
    <n v="0.91749139052736906"/>
  </r>
  <r>
    <s v="AP-104"/>
    <x v="3"/>
    <s v="Commercial"/>
    <s v="Satellite Systems"/>
    <s v="David Kim"/>
    <x v="17"/>
    <x v="0"/>
    <n v="397805.89"/>
    <n v="402210.01"/>
    <n v="377930.3"/>
    <n v="406948.29"/>
    <n v="4404.1199999999953"/>
    <n v="1.107102763108911E-2"/>
    <n v="-24279.710000000021"/>
    <n v="0.93963424729285072"/>
  </r>
  <r>
    <s v="AP-104"/>
    <x v="3"/>
    <s v="Commercial"/>
    <s v="Satellite Systems"/>
    <s v="David Kim"/>
    <x v="17"/>
    <x v="1"/>
    <n v="317996.71000000002"/>
    <n v="322106.51"/>
    <n v="290163"/>
    <n v="325646.37"/>
    <n v="4109.7999999999884"/>
    <n v="1.2924033081977445E-2"/>
    <n v="-31943.510000000009"/>
    <n v="0.90082935610335846"/>
  </r>
  <r>
    <s v="AP-104"/>
    <x v="3"/>
    <s v="Commercial"/>
    <s v="Satellite Systems"/>
    <s v="David Kim"/>
    <x v="17"/>
    <x v="2"/>
    <n v="254943.13"/>
    <n v="254988.56"/>
    <n v="229061.06"/>
    <n v="255061.52"/>
    <n v="45.429999999993015"/>
    <n v="1.7819660408183196E-4"/>
    <n v="-25927.5"/>
    <n v="0.8983189677215323"/>
  </r>
  <r>
    <s v="AP-104"/>
    <x v="3"/>
    <s v="Commercial"/>
    <s v="Satellite Systems"/>
    <s v="David Kim"/>
    <x v="17"/>
    <x v="3"/>
    <n v="175350.23"/>
    <n v="176073.04"/>
    <n v="166939.57"/>
    <n v="177179.25"/>
    <n v="722.80999999999767"/>
    <n v="4.1220932530285108E-3"/>
    <n v="-9133.4700000000012"/>
    <n v="0.94812681146415145"/>
  </r>
  <r>
    <s v="AP-104"/>
    <x v="3"/>
    <s v="Commercial"/>
    <s v="Satellite Systems"/>
    <s v="David Kim"/>
    <x v="17"/>
    <x v="4"/>
    <n v="43389.67"/>
    <n v="42470.04"/>
    <n v="39659.410000000003"/>
    <n v="42763.05"/>
    <n v="-919.62999999999738"/>
    <n v="-2.119467605999302E-2"/>
    <n v="-2810.6299999999974"/>
    <n v="0.93382087702295558"/>
  </r>
  <r>
    <s v="AP-104"/>
    <x v="3"/>
    <s v="Commercial"/>
    <s v="Satellite Systems"/>
    <s v="David Kim"/>
    <x v="17"/>
    <x v="5"/>
    <n v="68552.41"/>
    <n v="66339.41"/>
    <n v="64543.64"/>
    <n v="67181.89"/>
    <n v="-2213"/>
    <n v="-3.2281870177868287E-2"/>
    <n v="-1795.7700000000041"/>
    <n v="0.97293057022967189"/>
  </r>
  <r>
    <s v="AP-104"/>
    <x v="3"/>
    <s v="Commercial"/>
    <s v="Satellite Systems"/>
    <s v="David Kim"/>
    <x v="18"/>
    <x v="0"/>
    <n v="394729.69"/>
    <n v="389349.36"/>
    <n v="355107.61"/>
    <n v="386711.65"/>
    <n v="-5380.3300000000163"/>
    <n v="-1.3630416298302811E-2"/>
    <n v="-34241.75"/>
    <n v="0.9120539199037081"/>
  </r>
  <r>
    <s v="AP-104"/>
    <x v="3"/>
    <s v="Commercial"/>
    <s v="Satellite Systems"/>
    <s v="David Kim"/>
    <x v="18"/>
    <x v="1"/>
    <n v="318143.15999999997"/>
    <n v="316971.24"/>
    <n v="299249.37"/>
    <n v="313692.83"/>
    <n v="-1171.9199999999837"/>
    <n v="-3.6836246927326169E-3"/>
    <n v="-17721.869999999995"/>
    <n v="0.94408997485071522"/>
  </r>
  <r>
    <s v="AP-104"/>
    <x v="3"/>
    <s v="Commercial"/>
    <s v="Satellite Systems"/>
    <s v="David Kim"/>
    <x v="18"/>
    <x v="2"/>
    <n v="249392.27"/>
    <n v="249170.99"/>
    <n v="232552.39"/>
    <n v="250653.3"/>
    <n v="-221.27999999999884"/>
    <n v="-8.8727689915970068E-4"/>
    <n v="-16618.599999999977"/>
    <n v="0.93330443483810066"/>
  </r>
  <r>
    <s v="AP-104"/>
    <x v="3"/>
    <s v="Commercial"/>
    <s v="Satellite Systems"/>
    <s v="David Kim"/>
    <x v="18"/>
    <x v="3"/>
    <n v="186621.31"/>
    <n v="189640.44"/>
    <n v="175503.35"/>
    <n v="186345.22"/>
    <n v="3019.1300000000047"/>
    <n v="1.6177841640914452E-2"/>
    <n v="-14137.089999999997"/>
    <n v="0.92545318920373731"/>
  </r>
  <r>
    <s v="AP-104"/>
    <x v="3"/>
    <s v="Commercial"/>
    <s v="Satellite Systems"/>
    <s v="David Kim"/>
    <x v="18"/>
    <x v="4"/>
    <n v="42613.31"/>
    <n v="42908.75"/>
    <n v="38726.980000000003"/>
    <n v="43247.61"/>
    <n v="295.44000000000233"/>
    <n v="6.9330450978814448E-3"/>
    <n v="-4181.7699999999968"/>
    <n v="0.90254272147289316"/>
  </r>
  <r>
    <s v="AP-104"/>
    <x v="3"/>
    <s v="Commercial"/>
    <s v="Satellite Systems"/>
    <s v="David Kim"/>
    <x v="18"/>
    <x v="5"/>
    <n v="68352.600000000006"/>
    <n v="70584.92"/>
    <n v="61661.71"/>
    <n v="70598.48"/>
    <n v="2232.3199999999924"/>
    <n v="3.2658889347296112E-2"/>
    <n v="-8923.2099999999991"/>
    <n v="0.87358192089755149"/>
  </r>
  <r>
    <s v="AP-104"/>
    <x v="3"/>
    <s v="Commercial"/>
    <s v="Satellite Systems"/>
    <s v="David Kim"/>
    <x v="19"/>
    <x v="0"/>
    <n v="417732.36"/>
    <n v="430519.59"/>
    <n v="376972.31"/>
    <n v="429287.88"/>
    <n v="12787.23000000004"/>
    <n v="3.0611059195892892E-2"/>
    <n v="-53547.280000000028"/>
    <n v="0.87562173419332667"/>
  </r>
  <r>
    <s v="AP-104"/>
    <x v="3"/>
    <s v="Commercial"/>
    <s v="Satellite Systems"/>
    <s v="David Kim"/>
    <x v="19"/>
    <x v="1"/>
    <n v="319807.45"/>
    <n v="312706.81"/>
    <n v="296975.48"/>
    <n v="314883.96999999997"/>
    <n v="-7100.640000000014"/>
    <n v="-2.220285987709171E-2"/>
    <n v="-15731.330000000016"/>
    <n v="0.94969303674582584"/>
  </r>
  <r>
    <s v="AP-104"/>
    <x v="3"/>
    <s v="Commercial"/>
    <s v="Satellite Systems"/>
    <s v="David Kim"/>
    <x v="19"/>
    <x v="2"/>
    <n v="258983.97"/>
    <n v="262226.34999999998"/>
    <n v="230223.79"/>
    <n v="265619.28999999998"/>
    <n v="3242.3799999999756"/>
    <n v="1.2519616561596362E-2"/>
    <n v="-32002.559999999969"/>
    <n v="0.87795826010620226"/>
  </r>
  <r>
    <s v="AP-104"/>
    <x v="3"/>
    <s v="Commercial"/>
    <s v="Satellite Systems"/>
    <s v="David Kim"/>
    <x v="19"/>
    <x v="3"/>
    <n v="188656.07"/>
    <n v="184530.05"/>
    <n v="170232.93"/>
    <n v="185738.3"/>
    <n v="-4126.0200000000186"/>
    <n v="-2.1870592342986994E-2"/>
    <n v="-14297.119999999995"/>
    <n v="0.92252145382283268"/>
  </r>
  <r>
    <s v="AP-104"/>
    <x v="3"/>
    <s v="Commercial"/>
    <s v="Satellite Systems"/>
    <s v="David Kim"/>
    <x v="19"/>
    <x v="4"/>
    <n v="43595.27"/>
    <n v="42740.14"/>
    <n v="40590.07"/>
    <n v="43248.05"/>
    <n v="-855.12999999999738"/>
    <n v="-1.961520137391046E-2"/>
    <n v="-2150.0699999999997"/>
    <n v="0.94969436225524761"/>
  </r>
  <r>
    <s v="AP-104"/>
    <x v="3"/>
    <s v="Commercial"/>
    <s v="Satellite Systems"/>
    <s v="David Kim"/>
    <x v="19"/>
    <x v="5"/>
    <n v="67836.7"/>
    <n v="68962.27"/>
    <n v="61326.09"/>
    <n v="67813.42"/>
    <n v="1125.570000000007"/>
    <n v="1.6592346030983331E-2"/>
    <n v="-7636.1800000000076"/>
    <n v="0.88927017628625038"/>
  </r>
  <r>
    <s v="AP-104"/>
    <x v="3"/>
    <s v="Commercial"/>
    <s v="Satellite Systems"/>
    <s v="David Kim"/>
    <x v="20"/>
    <x v="0"/>
    <n v="409944.41"/>
    <n v="404332.76"/>
    <n v="386247.26"/>
    <n v="406304.62"/>
    <n v="-5611.6499999999651"/>
    <n v="-1.3688807221447332E-2"/>
    <n v="-18085.5"/>
    <n v="0.9552707527334664"/>
  </r>
  <r>
    <s v="AP-104"/>
    <x v="3"/>
    <s v="Commercial"/>
    <s v="Satellite Systems"/>
    <s v="David Kim"/>
    <x v="20"/>
    <x v="1"/>
    <n v="316759.73"/>
    <n v="307919.55"/>
    <n v="293825.43"/>
    <n v="309774.75"/>
    <n v="-8840.179999999993"/>
    <n v="-2.790815612830581E-2"/>
    <n v="-14094.119999999995"/>
    <n v="0.95422791440166754"/>
  </r>
  <r>
    <s v="AP-104"/>
    <x v="3"/>
    <s v="Commercial"/>
    <s v="Satellite Systems"/>
    <s v="David Kim"/>
    <x v="20"/>
    <x v="2"/>
    <n v="265381.98"/>
    <n v="258321.26"/>
    <n v="249921.62"/>
    <n v="263919.8"/>
    <n v="-7060.7199999999721"/>
    <n v="-2.6605875802117283E-2"/>
    <n v="-8399.640000000014"/>
    <n v="0.96748374485321098"/>
  </r>
  <r>
    <s v="AP-104"/>
    <x v="3"/>
    <s v="Commercial"/>
    <s v="Satellite Systems"/>
    <s v="David Kim"/>
    <x v="20"/>
    <x v="3"/>
    <n v="182099.12"/>
    <n v="178152.56"/>
    <n v="164360.19"/>
    <n v="182611.47"/>
    <n v="-3946.5599999999977"/>
    <n v="-2.167259237716249E-2"/>
    <n v="-13792.369999999995"/>
    <n v="0.92258112934217729"/>
  </r>
  <r>
    <s v="AP-104"/>
    <x v="3"/>
    <s v="Commercial"/>
    <s v="Satellite Systems"/>
    <s v="David Kim"/>
    <x v="20"/>
    <x v="4"/>
    <n v="42822.93"/>
    <n v="43374.61"/>
    <n v="39964.99"/>
    <n v="42812.46"/>
    <n v="551.68000000000029"/>
    <n v="1.2882817686692626E-2"/>
    <n v="-3409.6200000000026"/>
    <n v="0.92139133931117756"/>
  </r>
  <r>
    <s v="AP-104"/>
    <x v="3"/>
    <s v="Commercial"/>
    <s v="Satellite Systems"/>
    <s v="David Kim"/>
    <x v="20"/>
    <x v="5"/>
    <n v="70232.639999999999"/>
    <n v="71743.679999999993"/>
    <n v="66217.64"/>
    <n v="71847.38"/>
    <n v="1511.0399999999936"/>
    <n v="2.1514782870186763E-2"/>
    <n v="-5526.0399999999936"/>
    <n v="0.92297523628562139"/>
  </r>
  <r>
    <s v="AP-104"/>
    <x v="3"/>
    <s v="Commercial"/>
    <s v="Satellite Systems"/>
    <s v="David Kim"/>
    <x v="21"/>
    <x v="0"/>
    <n v="424338.36"/>
    <n v="419543.14"/>
    <n v="375447.16"/>
    <n v="423082.51"/>
    <n v="-4795.2199999999721"/>
    <n v="-1.1300463149266006E-2"/>
    <n v="-44095.98000000004"/>
    <n v="0.89489524247732899"/>
  </r>
  <r>
    <s v="AP-104"/>
    <x v="3"/>
    <s v="Commercial"/>
    <s v="Satellite Systems"/>
    <s v="David Kim"/>
    <x v="21"/>
    <x v="1"/>
    <n v="315475.92"/>
    <n v="306906.09000000003"/>
    <n v="291342.03999999998"/>
    <n v="309575.39"/>
    <n v="-8569.8299999999581"/>
    <n v="-2.7164767440887274E-2"/>
    <n v="-15564.050000000047"/>
    <n v="0.94928725591597074"/>
  </r>
  <r>
    <s v="AP-104"/>
    <x v="3"/>
    <s v="Commercial"/>
    <s v="Satellite Systems"/>
    <s v="David Kim"/>
    <x v="21"/>
    <x v="2"/>
    <n v="251125.04"/>
    <n v="257094.74"/>
    <n v="233079.89"/>
    <n v="258175.53"/>
    <n v="5969.6999999999825"/>
    <n v="2.3771822993039572E-2"/>
    <n v="-24014.849999999977"/>
    <n v="0.90659143784894247"/>
  </r>
  <r>
    <s v="AP-104"/>
    <x v="3"/>
    <s v="Commercial"/>
    <s v="Satellite Systems"/>
    <s v="David Kim"/>
    <x v="21"/>
    <x v="3"/>
    <n v="183183.67"/>
    <n v="182021.48"/>
    <n v="170466.57"/>
    <n v="185626.73"/>
    <n v="-1162.1900000000023"/>
    <n v="-6.3443974017989829E-3"/>
    <n v="-11554.910000000003"/>
    <n v="0.9365189756725415"/>
  </r>
  <r>
    <s v="AP-104"/>
    <x v="3"/>
    <s v="Commercial"/>
    <s v="Satellite Systems"/>
    <s v="David Kim"/>
    <x v="21"/>
    <x v="4"/>
    <n v="44040.2"/>
    <n v="43310.29"/>
    <n v="39983.72"/>
    <n v="44005.17"/>
    <n v="-729.90999999999622"/>
    <n v="-1.6573721281919616E-2"/>
    <n v="-3326.5699999999997"/>
    <n v="0.92319215595185344"/>
  </r>
  <r>
    <s v="AP-104"/>
    <x v="3"/>
    <s v="Commercial"/>
    <s v="Satellite Systems"/>
    <s v="David Kim"/>
    <x v="21"/>
    <x v="5"/>
    <n v="67088.34"/>
    <n v="68550.11"/>
    <n v="59935.27"/>
    <n v="68620.83"/>
    <n v="1461.7700000000041"/>
    <n v="2.178873407808278E-2"/>
    <n v="-8614.8400000000038"/>
    <n v="0.87432784571753419"/>
  </r>
  <r>
    <s v="AP-104"/>
    <x v="3"/>
    <s v="Commercial"/>
    <s v="Satellite Systems"/>
    <s v="David Kim"/>
    <x v="22"/>
    <x v="0"/>
    <n v="407567.08"/>
    <n v="403766.16"/>
    <n v="366638.79"/>
    <n v="410714.94"/>
    <n v="-3800.9200000000419"/>
    <n v="-9.3258758779046665E-3"/>
    <n v="-37127.369999999995"/>
    <n v="0.90804734601829928"/>
  </r>
  <r>
    <s v="AP-104"/>
    <x v="3"/>
    <s v="Commercial"/>
    <s v="Satellite Systems"/>
    <s v="David Kim"/>
    <x v="22"/>
    <x v="1"/>
    <n v="340504.97"/>
    <n v="330627.90999999997"/>
    <n v="302328.57"/>
    <n v="339914.71"/>
    <n v="-9877.0599999999977"/>
    <n v="-2.9007094962519926E-2"/>
    <n v="-28299.339999999967"/>
    <n v="0.91440728642660574"/>
  </r>
  <r>
    <s v="AP-104"/>
    <x v="3"/>
    <s v="Commercial"/>
    <s v="Satellite Systems"/>
    <s v="David Kim"/>
    <x v="22"/>
    <x v="2"/>
    <n v="266217.94"/>
    <n v="259402.64"/>
    <n v="244672.55"/>
    <n v="259190.34"/>
    <n v="-6815.2999999999884"/>
    <n v="-2.5600453523154706E-2"/>
    <n v="-14730.090000000026"/>
    <n v="0.94321534275826946"/>
  </r>
  <r>
    <s v="AP-104"/>
    <x v="3"/>
    <s v="Commercial"/>
    <s v="Satellite Systems"/>
    <s v="David Kim"/>
    <x v="22"/>
    <x v="3"/>
    <n v="190440.33"/>
    <n v="183977.89"/>
    <n v="173764.49"/>
    <n v="185327.23"/>
    <n v="-6462.4399999999732"/>
    <n v="-3.3934198706754883E-2"/>
    <n v="-10213.400000000023"/>
    <n v="0.94448572053957125"/>
  </r>
  <r>
    <s v="AP-104"/>
    <x v="3"/>
    <s v="Commercial"/>
    <s v="Satellite Systems"/>
    <s v="David Kim"/>
    <x v="22"/>
    <x v="4"/>
    <n v="46400.09"/>
    <n v="46784.75"/>
    <n v="41709.21"/>
    <n v="46632.09"/>
    <n v="384.66000000000349"/>
    <n v="8.2900701270192268E-3"/>
    <n v="-5075.5400000000009"/>
    <n v="0.8915129395796707"/>
  </r>
  <r>
    <s v="AP-104"/>
    <x v="3"/>
    <s v="Commercial"/>
    <s v="Satellite Systems"/>
    <s v="David Kim"/>
    <x v="22"/>
    <x v="5"/>
    <n v="69145.77"/>
    <n v="68293.570000000007"/>
    <n v="61452.67"/>
    <n v="68745.86"/>
    <n v="-852.19999999999709"/>
    <n v="-1.2324687395917307E-2"/>
    <n v="-6840.9000000000087"/>
    <n v="0.89983097969545289"/>
  </r>
  <r>
    <s v="AP-104"/>
    <x v="3"/>
    <s v="Commercial"/>
    <s v="Satellite Systems"/>
    <s v="David Kim"/>
    <x v="23"/>
    <x v="0"/>
    <n v="436048.01"/>
    <n v="437654.63"/>
    <n v="390815.2"/>
    <n v="439507.11"/>
    <n v="1606.6199999999953"/>
    <n v="3.684502539066731E-3"/>
    <n v="-46839.429999999993"/>
    <n v="0.89297627218064624"/>
  </r>
  <r>
    <s v="AP-104"/>
    <x v="3"/>
    <s v="Commercial"/>
    <s v="Satellite Systems"/>
    <s v="David Kim"/>
    <x v="23"/>
    <x v="1"/>
    <n v="331375.89"/>
    <n v="331841.06"/>
    <n v="294587.36"/>
    <n v="329047.99"/>
    <n v="465.1699999999837"/>
    <n v="1.4037533026315936E-3"/>
    <n v="-37253.700000000012"/>
    <n v="0.88773631569281986"/>
  </r>
  <r>
    <s v="AP-104"/>
    <x v="3"/>
    <s v="Commercial"/>
    <s v="Satellite Systems"/>
    <s v="David Kim"/>
    <x v="23"/>
    <x v="2"/>
    <n v="266960.26"/>
    <n v="261357.62"/>
    <n v="244571.16"/>
    <n v="263459.59000000003"/>
    <n v="-5602.640000000014"/>
    <n v="-2.0986794064404995E-2"/>
    <n v="-16786.459999999992"/>
    <n v="0.93577206587663297"/>
  </r>
  <r>
    <s v="AP-104"/>
    <x v="3"/>
    <s v="Commercial"/>
    <s v="Satellite Systems"/>
    <s v="David Kim"/>
    <x v="23"/>
    <x v="3"/>
    <n v="185194.79"/>
    <n v="184534.93"/>
    <n v="167970.07"/>
    <n v="185074.34"/>
    <n v="-659.86000000001513"/>
    <n v="-3.5630591983716988E-3"/>
    <n v="-16564.859999999986"/>
    <n v="0.91023455559335031"/>
  </r>
  <r>
    <s v="AP-104"/>
    <x v="3"/>
    <s v="Commercial"/>
    <s v="Satellite Systems"/>
    <s v="David Kim"/>
    <x v="23"/>
    <x v="4"/>
    <n v="44125.599999999999"/>
    <n v="45467.27"/>
    <n v="39602.53"/>
    <n v="44955.53"/>
    <n v="1341.6699999999983"/>
    <n v="3.0405705531482821E-2"/>
    <n v="-5864.739999999998"/>
    <n v="0.87101182894860418"/>
  </r>
  <r>
    <s v="AP-104"/>
    <x v="3"/>
    <s v="Commercial"/>
    <s v="Satellite Systems"/>
    <s v="David Kim"/>
    <x v="23"/>
    <x v="5"/>
    <n v="73509.210000000006"/>
    <n v="72614.84"/>
    <n v="67874.210000000006"/>
    <n v="72251.25"/>
    <n v="-894.3700000000099"/>
    <n v="-1.2166774748361597E-2"/>
    <n v="-4740.6299999999901"/>
    <n v="0.93471541078930986"/>
  </r>
  <r>
    <s v="AP-105"/>
    <x v="4"/>
    <s v="DoD"/>
    <s v="Autonomous Systems"/>
    <s v="Priya Shah"/>
    <x v="0"/>
    <x v="0"/>
    <n v="311261.63"/>
    <n v="336923.28"/>
    <n v="294078.84000000003"/>
    <n v="329031.45"/>
    <n v="25661.650000000023"/>
    <n v="8.2443987715414918E-2"/>
    <n v="-42844.44"/>
    <n v="0.87283621363296715"/>
  </r>
  <r>
    <s v="AP-105"/>
    <x v="4"/>
    <s v="DoD"/>
    <s v="Autonomous Systems"/>
    <s v="Priya Shah"/>
    <x v="0"/>
    <x v="1"/>
    <n v="244006.79"/>
    <n v="270474.98"/>
    <n v="230152.45"/>
    <n v="262173.59000000003"/>
    <n v="26468.189999999973"/>
    <n v="0.10847316994744274"/>
    <n v="-40322.52999999997"/>
    <n v="0.85091955640407124"/>
  </r>
  <r>
    <s v="AP-105"/>
    <x v="4"/>
    <s v="DoD"/>
    <s v="Autonomous Systems"/>
    <s v="Priya Shah"/>
    <x v="0"/>
    <x v="2"/>
    <n v="190444.96"/>
    <n v="211688.08"/>
    <n v="186566.89"/>
    <n v="205414.25"/>
    <n v="21243.119999999995"/>
    <n v="0.1115446688639069"/>
    <n v="-25121.189999999973"/>
    <n v="0.88132921797013808"/>
  </r>
  <r>
    <s v="AP-105"/>
    <x v="4"/>
    <s v="DoD"/>
    <s v="Autonomous Systems"/>
    <s v="Priya Shah"/>
    <x v="0"/>
    <x v="3"/>
    <n v="147535.81"/>
    <n v="158970.34"/>
    <n v="141048.03"/>
    <n v="153690.47"/>
    <n v="11434.529999999999"/>
    <n v="7.7503421033849329E-2"/>
    <n v="-17922.309999999998"/>
    <n v="0.887260038570717"/>
  </r>
  <r>
    <s v="AP-105"/>
    <x v="4"/>
    <s v="DoD"/>
    <s v="Autonomous Systems"/>
    <s v="Priya Shah"/>
    <x v="0"/>
    <x v="4"/>
    <n v="34600.92"/>
    <n v="37187.43"/>
    <n v="32746.54"/>
    <n v="36821.03"/>
    <n v="2586.510000000002"/>
    <n v="7.4752636635095321E-2"/>
    <n v="-4440.8899999999994"/>
    <n v="0.88058088445477412"/>
  </r>
  <r>
    <s v="AP-105"/>
    <x v="4"/>
    <s v="DoD"/>
    <s v="Autonomous Systems"/>
    <s v="Priya Shah"/>
    <x v="0"/>
    <x v="5"/>
    <n v="54346.23"/>
    <n v="57940.01"/>
    <n v="52349.89"/>
    <n v="56161.19"/>
    <n v="3593.7799999999988"/>
    <n v="6.6127494032244716E-2"/>
    <n v="-5590.1200000000026"/>
    <n v="0.90351882921663285"/>
  </r>
  <r>
    <s v="AP-105"/>
    <x v="4"/>
    <s v="DoD"/>
    <s v="Autonomous Systems"/>
    <s v="Priya Shah"/>
    <x v="1"/>
    <x v="0"/>
    <n v="331206.37"/>
    <n v="343705.05"/>
    <n v="326099.67"/>
    <n v="344390.62"/>
    <n v="12498.679999999993"/>
    <n v="3.7736834590469961E-2"/>
    <n v="-17605.380000000005"/>
    <n v="0.94877765107029999"/>
  </r>
  <r>
    <s v="AP-105"/>
    <x v="4"/>
    <s v="DoD"/>
    <s v="Autonomous Systems"/>
    <s v="Priya Shah"/>
    <x v="1"/>
    <x v="1"/>
    <n v="253749.3"/>
    <n v="260465.73"/>
    <n v="241556.56"/>
    <n v="259145.08"/>
    <n v="6716.4300000000221"/>
    <n v="2.646876267244884E-2"/>
    <n v="-18909.170000000013"/>
    <n v="0.9274024648079422"/>
  </r>
  <r>
    <s v="AP-105"/>
    <x v="4"/>
    <s v="DoD"/>
    <s v="Autonomous Systems"/>
    <s v="Priya Shah"/>
    <x v="1"/>
    <x v="2"/>
    <n v="203069.8"/>
    <n v="215002.08"/>
    <n v="200423.5"/>
    <n v="213694.06"/>
    <n v="11932.279999999999"/>
    <n v="5.8759500427931675E-2"/>
    <n v="-14578.579999999987"/>
    <n v="0.93219330715312154"/>
  </r>
  <r>
    <s v="AP-105"/>
    <x v="4"/>
    <s v="DoD"/>
    <s v="Autonomous Systems"/>
    <s v="Priya Shah"/>
    <x v="1"/>
    <x v="3"/>
    <n v="142872.37"/>
    <n v="158104"/>
    <n v="137501.78"/>
    <n v="155021.15"/>
    <n v="15231.630000000005"/>
    <n v="0.10661004643515051"/>
    <n v="-20602.22"/>
    <n v="0.86969197490259575"/>
  </r>
  <r>
    <s v="AP-105"/>
    <x v="4"/>
    <s v="DoD"/>
    <s v="Autonomous Systems"/>
    <s v="Priya Shah"/>
    <x v="1"/>
    <x v="4"/>
    <n v="33219.370000000003"/>
    <n v="34932"/>
    <n v="31006.19"/>
    <n v="34577.1"/>
    <n v="1712.6299999999974"/>
    <n v="5.1555161943167414E-2"/>
    <n v="-3925.8100000000013"/>
    <n v="0.88761565326920866"/>
  </r>
  <r>
    <s v="AP-105"/>
    <x v="4"/>
    <s v="DoD"/>
    <s v="Autonomous Systems"/>
    <s v="Priya Shah"/>
    <x v="1"/>
    <x v="5"/>
    <n v="52595.360000000001"/>
    <n v="56604.66"/>
    <n v="52217.86"/>
    <n v="54873.16"/>
    <n v="4009.3000000000029"/>
    <n v="7.6229157857271121E-2"/>
    <n v="-4386.8000000000029"/>
    <n v="0.92250108029974909"/>
  </r>
  <r>
    <s v="AP-105"/>
    <x v="4"/>
    <s v="DoD"/>
    <s v="Autonomous Systems"/>
    <s v="Priya Shah"/>
    <x v="2"/>
    <x v="0"/>
    <n v="325189.82"/>
    <n v="340617.58"/>
    <n v="307536.87"/>
    <n v="340007.02"/>
    <n v="15427.760000000009"/>
    <n v="4.7442321533927502E-2"/>
    <n v="-33080.710000000021"/>
    <n v="0.9028802036583079"/>
  </r>
  <r>
    <s v="AP-105"/>
    <x v="4"/>
    <s v="DoD"/>
    <s v="Autonomous Systems"/>
    <s v="Priya Shah"/>
    <x v="2"/>
    <x v="1"/>
    <n v="256607"/>
    <n v="282414.65999999997"/>
    <n v="241304.63"/>
    <n v="270894.77"/>
    <n v="25807.659999999974"/>
    <n v="0.10057270456378811"/>
    <n v="-41110.02999999997"/>
    <n v="0.85443379603594238"/>
  </r>
  <r>
    <s v="AP-105"/>
    <x v="4"/>
    <s v="DoD"/>
    <s v="Autonomous Systems"/>
    <s v="Priya Shah"/>
    <x v="2"/>
    <x v="2"/>
    <n v="206732.09"/>
    <n v="220375.08"/>
    <n v="201745.95"/>
    <n v="218305.65"/>
    <n v="13642.989999999991"/>
    <n v="6.5993576517317618E-2"/>
    <n v="-18629.129999999976"/>
    <n v="0.9154662587076543"/>
  </r>
  <r>
    <s v="AP-105"/>
    <x v="4"/>
    <s v="DoD"/>
    <s v="Autonomous Systems"/>
    <s v="Priya Shah"/>
    <x v="2"/>
    <x v="3"/>
    <n v="144462.74"/>
    <n v="149695.64000000001"/>
    <n v="138439.18"/>
    <n v="146514.82"/>
    <n v="5232.9000000000233"/>
    <n v="3.6223181146917353E-2"/>
    <n v="-11256.460000000021"/>
    <n v="0.92480435635934344"/>
  </r>
  <r>
    <s v="AP-105"/>
    <x v="4"/>
    <s v="DoD"/>
    <s v="Autonomous Systems"/>
    <s v="Priya Shah"/>
    <x v="2"/>
    <x v="4"/>
    <n v="33748.870000000003"/>
    <n v="35612.870000000003"/>
    <n v="32643.06"/>
    <n v="35061.21"/>
    <n v="1864"/>
    <n v="5.5231478861366319E-2"/>
    <n v="-2969.8100000000013"/>
    <n v="0.91660851821265732"/>
  </r>
  <r>
    <s v="AP-105"/>
    <x v="4"/>
    <s v="DoD"/>
    <s v="Autonomous Systems"/>
    <s v="Priya Shah"/>
    <x v="2"/>
    <x v="5"/>
    <n v="52024.77"/>
    <n v="53582.36"/>
    <n v="48427.43"/>
    <n v="52481.88"/>
    <n v="1557.5900000000038"/>
    <n v="2.9939392331768191E-2"/>
    <n v="-5154.93"/>
    <n v="0.90379427109966792"/>
  </r>
  <r>
    <s v="AP-105"/>
    <x v="4"/>
    <s v="DoD"/>
    <s v="Autonomous Systems"/>
    <s v="Priya Shah"/>
    <x v="3"/>
    <x v="0"/>
    <n v="315305.09999999998"/>
    <n v="325776.42"/>
    <n v="295571.37"/>
    <n v="319300.31"/>
    <n v="10471.320000000007"/>
    <n v="3.3210119341552068E-2"/>
    <n v="-30205.049999999988"/>
    <n v="0.90728288437818794"/>
  </r>
  <r>
    <s v="AP-105"/>
    <x v="4"/>
    <s v="DoD"/>
    <s v="Autonomous Systems"/>
    <s v="Priya Shah"/>
    <x v="3"/>
    <x v="1"/>
    <n v="248341.44"/>
    <n v="269486.82"/>
    <n v="238289.74"/>
    <n v="266340.17"/>
    <n v="21145.380000000005"/>
    <n v="8.5146401663773894E-2"/>
    <n v="-31197.080000000016"/>
    <n v="0.88423522901787921"/>
  </r>
  <r>
    <s v="AP-105"/>
    <x v="4"/>
    <s v="DoD"/>
    <s v="Autonomous Systems"/>
    <s v="Priya Shah"/>
    <x v="3"/>
    <x v="2"/>
    <n v="204454.09"/>
    <n v="217064.55"/>
    <n v="197860.34"/>
    <n v="214985.59"/>
    <n v="12610.459999999992"/>
    <n v="6.1678687865818642E-2"/>
    <n v="-19204.209999999992"/>
    <n v="0.91152765387070345"/>
  </r>
  <r>
    <s v="AP-105"/>
    <x v="4"/>
    <s v="DoD"/>
    <s v="Autonomous Systems"/>
    <s v="Priya Shah"/>
    <x v="3"/>
    <x v="3"/>
    <n v="146321.60999999999"/>
    <n v="158246.74"/>
    <n v="138350.15"/>
    <n v="156011.37"/>
    <n v="11925.130000000005"/>
    <n v="8.1499444955533268E-2"/>
    <n v="-19896.589999999997"/>
    <n v="0.87426856313122159"/>
  </r>
  <r>
    <s v="AP-105"/>
    <x v="4"/>
    <s v="DoD"/>
    <s v="Autonomous Systems"/>
    <s v="Priya Shah"/>
    <x v="3"/>
    <x v="4"/>
    <n v="34464.5"/>
    <n v="34972.6"/>
    <n v="32654.19"/>
    <n v="34417.96"/>
    <n v="508.09999999999854"/>
    <n v="1.4742706262966199E-2"/>
    <n v="-2318.41"/>
    <n v="0.9337078169767189"/>
  </r>
  <r>
    <s v="AP-105"/>
    <x v="4"/>
    <s v="DoD"/>
    <s v="Autonomous Systems"/>
    <s v="Priya Shah"/>
    <x v="3"/>
    <x v="5"/>
    <n v="54781.61"/>
    <n v="57082.82"/>
    <n v="53770.26"/>
    <n v="56176.05"/>
    <n v="2301.2099999999991"/>
    <n v="4.2006980079628893E-2"/>
    <n v="-3312.5599999999977"/>
    <n v="0.94196922997146959"/>
  </r>
  <r>
    <s v="AP-105"/>
    <x v="4"/>
    <s v="DoD"/>
    <s v="Autonomous Systems"/>
    <s v="Priya Shah"/>
    <x v="4"/>
    <x v="0"/>
    <n v="335879.29"/>
    <n v="349983.12"/>
    <n v="323489.12"/>
    <n v="347588.56"/>
    <n v="14103.830000000016"/>
    <n v="4.1990769957861995E-2"/>
    <n v="-26494"/>
    <n v="0.92429920620171624"/>
  </r>
  <r>
    <s v="AP-105"/>
    <x v="4"/>
    <s v="DoD"/>
    <s v="Autonomous Systems"/>
    <s v="Priya Shah"/>
    <x v="4"/>
    <x v="1"/>
    <n v="255061.21"/>
    <n v="269295.33"/>
    <n v="239223.73"/>
    <n v="267959.44"/>
    <n v="14234.120000000024"/>
    <n v="5.580668263904192E-2"/>
    <n v="-30071.600000000006"/>
    <n v="0.88833226331849124"/>
  </r>
  <r>
    <s v="AP-105"/>
    <x v="4"/>
    <s v="DoD"/>
    <s v="Autonomous Systems"/>
    <s v="Priya Shah"/>
    <x v="4"/>
    <x v="2"/>
    <n v="208012.3"/>
    <n v="218150"/>
    <n v="201892.06"/>
    <n v="215761.04"/>
    <n v="10137.700000000012"/>
    <n v="4.8736060319510013E-2"/>
    <n v="-16257.940000000002"/>
    <n v="0.92547357322942925"/>
  </r>
  <r>
    <s v="AP-105"/>
    <x v="4"/>
    <s v="DoD"/>
    <s v="Autonomous Systems"/>
    <s v="Priya Shah"/>
    <x v="4"/>
    <x v="3"/>
    <n v="148490.32"/>
    <n v="159489.53"/>
    <n v="141061.43"/>
    <n v="156295.57999999999"/>
    <n v="10999.209999999992"/>
    <n v="7.4073582708960362E-2"/>
    <n v="-18428.100000000006"/>
    <n v="0.88445573825441703"/>
  </r>
  <r>
    <s v="AP-105"/>
    <x v="4"/>
    <s v="DoD"/>
    <s v="Autonomous Systems"/>
    <s v="Priya Shah"/>
    <x v="4"/>
    <x v="4"/>
    <n v="34325.18"/>
    <n v="36023.24"/>
    <n v="34141.15"/>
    <n v="35988.019999999997"/>
    <n v="1698.0599999999977"/>
    <n v="4.9469806130659696E-2"/>
    <n v="-1882.0899999999965"/>
    <n v="0.94775345027265745"/>
  </r>
  <r>
    <s v="AP-105"/>
    <x v="4"/>
    <s v="DoD"/>
    <s v="Autonomous Systems"/>
    <s v="Priya Shah"/>
    <x v="4"/>
    <x v="5"/>
    <n v="53455.25"/>
    <n v="58982.69"/>
    <n v="50664.1"/>
    <n v="57566.879999999997"/>
    <n v="5527.4400000000023"/>
    <n v="0.10340312691456877"/>
    <n v="-8318.5900000000038"/>
    <n v="0.85896557108534721"/>
  </r>
  <r>
    <s v="AP-105"/>
    <x v="4"/>
    <s v="DoD"/>
    <s v="Autonomous Systems"/>
    <s v="Priya Shah"/>
    <x v="5"/>
    <x v="0"/>
    <n v="322501.03999999998"/>
    <n v="354865.09"/>
    <n v="310369.06"/>
    <n v="348563.96"/>
    <n v="32364.050000000047"/>
    <n v="0.10035331979084486"/>
    <n v="-44496.030000000028"/>
    <n v="0.8746114192297697"/>
  </r>
  <r>
    <s v="AP-105"/>
    <x v="4"/>
    <s v="DoD"/>
    <s v="Autonomous Systems"/>
    <s v="Priya Shah"/>
    <x v="5"/>
    <x v="1"/>
    <n v="260051.13"/>
    <n v="277275.59999999998"/>
    <n v="242551.24"/>
    <n v="269859.40999999997"/>
    <n v="17224.469999999972"/>
    <n v="6.6234936183511187E-2"/>
    <n v="-34724.359999999986"/>
    <n v="0.87476590078607719"/>
  </r>
  <r>
    <s v="AP-105"/>
    <x v="4"/>
    <s v="DoD"/>
    <s v="Autonomous Systems"/>
    <s v="Priya Shah"/>
    <x v="5"/>
    <x v="2"/>
    <n v="201922.41"/>
    <n v="212989.57"/>
    <n v="196835.64"/>
    <n v="208214.45"/>
    <n v="11067.160000000003"/>
    <n v="5.4808973407161711E-2"/>
    <n v="-16153.929999999993"/>
    <n v="0.92415623919988199"/>
  </r>
  <r>
    <s v="AP-105"/>
    <x v="4"/>
    <s v="DoD"/>
    <s v="Autonomous Systems"/>
    <s v="Priya Shah"/>
    <x v="5"/>
    <x v="3"/>
    <n v="153118.69"/>
    <n v="161825.26999999999"/>
    <n v="150851.21"/>
    <n v="159734.03"/>
    <n v="8706.5799999999872"/>
    <n v="5.6861641122974517E-2"/>
    <n v="-10974.059999999998"/>
    <n v="0.93218574577382141"/>
  </r>
  <r>
    <s v="AP-105"/>
    <x v="4"/>
    <s v="DoD"/>
    <s v="Autonomous Systems"/>
    <s v="Priya Shah"/>
    <x v="5"/>
    <x v="4"/>
    <n v="35678.29"/>
    <n v="36521.410000000003"/>
    <n v="33992.01"/>
    <n v="36768.65"/>
    <n v="843.12000000000262"/>
    <n v="2.3631177391068982E-2"/>
    <n v="-2529.4000000000015"/>
    <n v="0.93074199490107301"/>
  </r>
  <r>
    <s v="AP-105"/>
    <x v="4"/>
    <s v="DoD"/>
    <s v="Autonomous Systems"/>
    <s v="Priya Shah"/>
    <x v="5"/>
    <x v="5"/>
    <n v="54468.01"/>
    <n v="56770.8"/>
    <n v="52364"/>
    <n v="56208.27"/>
    <n v="2302.7900000000009"/>
    <n v="4.2277843453432586E-2"/>
    <n v="-4406.8000000000029"/>
    <n v="0.92237558744988613"/>
  </r>
  <r>
    <s v="AP-105"/>
    <x v="4"/>
    <s v="DoD"/>
    <s v="Autonomous Systems"/>
    <s v="Priya Shah"/>
    <x v="6"/>
    <x v="0"/>
    <n v="330038.92"/>
    <n v="350246.75"/>
    <n v="307195.15999999997"/>
    <n v="346504.16"/>
    <n v="20207.830000000016"/>
    <n v="6.1228627217662743E-2"/>
    <n v="-43051.590000000026"/>
    <n v="0.8770821142523092"/>
  </r>
  <r>
    <s v="AP-105"/>
    <x v="4"/>
    <s v="DoD"/>
    <s v="Autonomous Systems"/>
    <s v="Priya Shah"/>
    <x v="6"/>
    <x v="1"/>
    <n v="272065.86"/>
    <n v="275793.28999999998"/>
    <n v="268815.37"/>
    <n v="272487.26"/>
    <n v="3727.429999999993"/>
    <n v="1.3700469437804483E-2"/>
    <n v="-6977.9199999999837"/>
    <n v="0.97469873179293087"/>
  </r>
  <r>
    <s v="AP-105"/>
    <x v="4"/>
    <s v="DoD"/>
    <s v="Autonomous Systems"/>
    <s v="Priya Shah"/>
    <x v="6"/>
    <x v="2"/>
    <n v="216177.29"/>
    <n v="229020.38"/>
    <n v="214628.14"/>
    <n v="224548.52"/>
    <n v="12843.089999999997"/>
    <n v="5.940998705275654E-2"/>
    <n v="-14392.239999999991"/>
    <n v="0.93715738311149432"/>
  </r>
  <r>
    <s v="AP-105"/>
    <x v="4"/>
    <s v="DoD"/>
    <s v="Autonomous Systems"/>
    <s v="Priya Shah"/>
    <x v="6"/>
    <x v="3"/>
    <n v="155795.89000000001"/>
    <n v="160377.54999999999"/>
    <n v="150175.79999999999"/>
    <n v="160406.13"/>
    <n v="4581.6599999999744"/>
    <n v="2.9408092857905136E-2"/>
    <n v="-10201.75"/>
    <n v="0.93638916419411566"/>
  </r>
  <r>
    <s v="AP-105"/>
    <x v="4"/>
    <s v="DoD"/>
    <s v="Autonomous Systems"/>
    <s v="Priya Shah"/>
    <x v="6"/>
    <x v="4"/>
    <n v="34776.36"/>
    <n v="35748.79"/>
    <n v="32610.84"/>
    <n v="35926.720000000001"/>
    <n v="972.43000000000029"/>
    <n v="2.7962385942634602E-2"/>
    <n v="-3137.9500000000007"/>
    <n v="0.91222220388438324"/>
  </r>
  <r>
    <s v="AP-105"/>
    <x v="4"/>
    <s v="DoD"/>
    <s v="Autonomous Systems"/>
    <s v="Priya Shah"/>
    <x v="6"/>
    <x v="5"/>
    <n v="57867.97"/>
    <n v="60888.62"/>
    <n v="53541.46"/>
    <n v="59441.06"/>
    <n v="3020.6500000000015"/>
    <n v="5.2198997130882621E-2"/>
    <n v="-7347.1600000000035"/>
    <n v="0.87933443063744909"/>
  </r>
  <r>
    <s v="AP-105"/>
    <x v="4"/>
    <s v="DoD"/>
    <s v="Autonomous Systems"/>
    <s v="Priya Shah"/>
    <x v="7"/>
    <x v="0"/>
    <n v="346731.92"/>
    <n v="366605.2"/>
    <n v="327665.65999999997"/>
    <n v="363452.15999999997"/>
    <n v="19873.280000000028"/>
    <n v="5.7315980599651824E-2"/>
    <n v="-38939.540000000037"/>
    <n v="0.89378344878905147"/>
  </r>
  <r>
    <s v="AP-105"/>
    <x v="4"/>
    <s v="DoD"/>
    <s v="Autonomous Systems"/>
    <s v="Priya Shah"/>
    <x v="7"/>
    <x v="1"/>
    <n v="274118.82"/>
    <n v="288884.53000000003"/>
    <n v="254185.76"/>
    <n v="284087.92"/>
    <n v="14765.710000000021"/>
    <n v="5.3866093542938864E-2"/>
    <n v="-34698.770000000019"/>
    <n v="0.87988706075745904"/>
  </r>
  <r>
    <s v="AP-105"/>
    <x v="4"/>
    <s v="DoD"/>
    <s v="Autonomous Systems"/>
    <s v="Priya Shah"/>
    <x v="7"/>
    <x v="2"/>
    <n v="210386.28"/>
    <n v="220777.12"/>
    <n v="202174.83"/>
    <n v="215899.27"/>
    <n v="10390.839999999997"/>
    <n v="4.9389342308823546E-2"/>
    <n v="-18602.290000000008"/>
    <n v="0.91574176708166133"/>
  </r>
  <r>
    <s v="AP-105"/>
    <x v="4"/>
    <s v="DoD"/>
    <s v="Autonomous Systems"/>
    <s v="Priya Shah"/>
    <x v="7"/>
    <x v="3"/>
    <n v="151672.79999999999"/>
    <n v="162424.71"/>
    <n v="145410.92000000001"/>
    <n v="157500.39000000001"/>
    <n v="10751.910000000003"/>
    <n v="7.0888847571878438E-2"/>
    <n v="-17013.789999999979"/>
    <n v="0.89525122131971191"/>
  </r>
  <r>
    <s v="AP-105"/>
    <x v="4"/>
    <s v="DoD"/>
    <s v="Autonomous Systems"/>
    <s v="Priya Shah"/>
    <x v="7"/>
    <x v="4"/>
    <n v="37401.31"/>
    <n v="40120.31"/>
    <n v="34923.449999999997"/>
    <n v="38851.57"/>
    <n v="2719"/>
    <n v="7.2697988385968304E-2"/>
    <n v="-5196.8600000000006"/>
    <n v="0.87046809957350779"/>
  </r>
  <r>
    <s v="AP-105"/>
    <x v="4"/>
    <s v="DoD"/>
    <s v="Autonomous Systems"/>
    <s v="Priya Shah"/>
    <x v="7"/>
    <x v="5"/>
    <n v="56627.64"/>
    <n v="59725.1"/>
    <n v="55782.92"/>
    <n v="58096"/>
    <n v="3097.4599999999991"/>
    <n v="5.4698730160748339E-2"/>
    <n v="-3942.1800000000003"/>
    <n v="0.93399458519115075"/>
  </r>
  <r>
    <s v="AP-105"/>
    <x v="4"/>
    <s v="DoD"/>
    <s v="Autonomous Systems"/>
    <s v="Priya Shah"/>
    <x v="8"/>
    <x v="0"/>
    <n v="340798.26"/>
    <n v="350191.73"/>
    <n v="332748.46000000002"/>
    <n v="346137.49"/>
    <n v="9393.4699999999721"/>
    <n v="2.7563139553588013E-2"/>
    <n v="-17443.26999999996"/>
    <n v="0.95018937197631714"/>
  </r>
  <r>
    <s v="AP-105"/>
    <x v="4"/>
    <s v="DoD"/>
    <s v="Autonomous Systems"/>
    <s v="Priya Shah"/>
    <x v="8"/>
    <x v="1"/>
    <n v="266108.19"/>
    <n v="280008.93"/>
    <n v="255513.39"/>
    <n v="277195.11"/>
    <n v="13900.739999999991"/>
    <n v="5.2237174661929758E-2"/>
    <n v="-24495.539999999979"/>
    <n v="0.912518718599439"/>
  </r>
  <r>
    <s v="AP-105"/>
    <x v="4"/>
    <s v="DoD"/>
    <s v="Autonomous Systems"/>
    <s v="Priya Shah"/>
    <x v="8"/>
    <x v="2"/>
    <n v="209370.9"/>
    <n v="227036.87"/>
    <n v="203284.98"/>
    <n v="223447.21"/>
    <n v="17665.97"/>
    <n v="8.4376434356445915E-2"/>
    <n v="-23751.889999999985"/>
    <n v="0.89538311552656635"/>
  </r>
  <r>
    <s v="AP-105"/>
    <x v="4"/>
    <s v="DoD"/>
    <s v="Autonomous Systems"/>
    <s v="Priya Shah"/>
    <x v="8"/>
    <x v="3"/>
    <n v="160243.76999999999"/>
    <n v="166537.38"/>
    <n v="148831.06"/>
    <n v="164843.12"/>
    <n v="6293.6100000000151"/>
    <n v="3.9275224241167167E-2"/>
    <n v="-17706.320000000007"/>
    <n v="0.89367960514330169"/>
  </r>
  <r>
    <s v="AP-105"/>
    <x v="4"/>
    <s v="DoD"/>
    <s v="Autonomous Systems"/>
    <s v="Priya Shah"/>
    <x v="8"/>
    <x v="4"/>
    <n v="37200.03"/>
    <n v="41275.519999999997"/>
    <n v="34814.43"/>
    <n v="39772.620000000003"/>
    <n v="4075.489999999998"/>
    <n v="0.10955609444400981"/>
    <n v="-6461.0899999999965"/>
    <n v="0.84346435853503487"/>
  </r>
  <r>
    <s v="AP-105"/>
    <x v="4"/>
    <s v="DoD"/>
    <s v="Autonomous Systems"/>
    <s v="Priya Shah"/>
    <x v="8"/>
    <x v="5"/>
    <n v="55845.760000000002"/>
    <n v="58775.93"/>
    <n v="54180.97"/>
    <n v="58432.14"/>
    <n v="2930.1699999999983"/>
    <n v="5.2468978844589065E-2"/>
    <n v="-4594.9599999999991"/>
    <n v="0.92182241948362198"/>
  </r>
  <r>
    <s v="AP-105"/>
    <x v="4"/>
    <s v="DoD"/>
    <s v="Autonomous Systems"/>
    <s v="Priya Shah"/>
    <x v="9"/>
    <x v="0"/>
    <n v="338727.44"/>
    <n v="336396.53"/>
    <n v="341381.25"/>
    <n v="341001.84"/>
    <n v="-2330.9099999999744"/>
    <n v="-6.8813734133850342E-3"/>
    <n v="4984.7199999999721"/>
    <n v="1.014817988758683"/>
  </r>
  <r>
    <s v="AP-105"/>
    <x v="4"/>
    <s v="DoD"/>
    <s v="Autonomous Systems"/>
    <s v="Priya Shah"/>
    <x v="9"/>
    <x v="1"/>
    <n v="267351.11"/>
    <n v="270837.28000000003"/>
    <n v="269852.48"/>
    <n v="272152.81"/>
    <n v="3486.1700000000419"/>
    <n v="1.3039669070384792E-2"/>
    <n v="-984.80000000004657"/>
    <n v="0.99636386837144408"/>
  </r>
  <r>
    <s v="AP-105"/>
    <x v="4"/>
    <s v="DoD"/>
    <s v="Autonomous Systems"/>
    <s v="Priya Shah"/>
    <x v="9"/>
    <x v="2"/>
    <n v="211295.94"/>
    <n v="208709.8"/>
    <n v="216904.87"/>
    <n v="211925.47"/>
    <n v="-2586.140000000014"/>
    <n v="-1.223942116445784E-2"/>
    <n v="8195.070000000007"/>
    <n v="1.0392653818843198"/>
  </r>
  <r>
    <s v="AP-105"/>
    <x v="4"/>
    <s v="DoD"/>
    <s v="Autonomous Systems"/>
    <s v="Priya Shah"/>
    <x v="9"/>
    <x v="3"/>
    <n v="151726.51"/>
    <n v="152706.48000000001"/>
    <n v="153850.66"/>
    <n v="152974.13"/>
    <n v="979.97000000000116"/>
    <n v="6.4587922044737015E-3"/>
    <n v="1144.179999999993"/>
    <n v="1.0074926748360646"/>
  </r>
  <r>
    <s v="AP-105"/>
    <x v="4"/>
    <s v="DoD"/>
    <s v="Autonomous Systems"/>
    <s v="Priya Shah"/>
    <x v="9"/>
    <x v="4"/>
    <n v="36479.410000000003"/>
    <n v="36339.93"/>
    <n v="36953.46"/>
    <n v="36674.39"/>
    <n v="-139.4800000000032"/>
    <n v="-3.8235267511180469E-3"/>
    <n v="613.52999999999884"/>
    <n v="1.0168830815029088"/>
  </r>
  <r>
    <s v="AP-105"/>
    <x v="4"/>
    <s v="DoD"/>
    <s v="Autonomous Systems"/>
    <s v="Priya Shah"/>
    <x v="9"/>
    <x v="5"/>
    <n v="56940.35"/>
    <n v="58478.15"/>
    <n v="57685.43"/>
    <n v="57264.59"/>
    <n v="1537.8000000000029"/>
    <n v="2.7007210176965946E-2"/>
    <n v="-792.72000000000116"/>
    <n v="0.98644416760790143"/>
  </r>
  <r>
    <s v="AP-105"/>
    <x v="4"/>
    <s v="DoD"/>
    <s v="Autonomous Systems"/>
    <s v="Priya Shah"/>
    <x v="10"/>
    <x v="0"/>
    <n v="349874.77"/>
    <n v="360711.04"/>
    <n v="357649.12"/>
    <n v="353484.84"/>
    <n v="10836.26999999996"/>
    <n v="3.0971853157631114E-2"/>
    <n v="-3061.9199999999837"/>
    <n v="0.99151143253059293"/>
  </r>
  <r>
    <s v="AP-105"/>
    <x v="4"/>
    <s v="DoD"/>
    <s v="Autonomous Systems"/>
    <s v="Priya Shah"/>
    <x v="10"/>
    <x v="1"/>
    <n v="272885.05"/>
    <n v="275278.78000000003"/>
    <n v="267789.40999999997"/>
    <n v="278650.14"/>
    <n v="2393.7300000000396"/>
    <n v="8.7719352892364003E-3"/>
    <n v="-7489.3700000000536"/>
    <n v="0.97279350773059936"/>
  </r>
  <r>
    <s v="AP-105"/>
    <x v="4"/>
    <s v="DoD"/>
    <s v="Autonomous Systems"/>
    <s v="Priya Shah"/>
    <x v="10"/>
    <x v="2"/>
    <n v="213915.45"/>
    <n v="211917.94"/>
    <n v="215938.65"/>
    <n v="211422.71"/>
    <n v="-1997.5100000000093"/>
    <n v="-9.3378482012402998E-3"/>
    <n v="4020.7099999999919"/>
    <n v="1.0189729571738948"/>
  </r>
  <r>
    <s v="AP-105"/>
    <x v="4"/>
    <s v="DoD"/>
    <s v="Autonomous Systems"/>
    <s v="Priya Shah"/>
    <x v="10"/>
    <x v="3"/>
    <n v="158505.42000000001"/>
    <n v="163566.01"/>
    <n v="154301.57"/>
    <n v="163624.37"/>
    <n v="5060.5899999999965"/>
    <n v="3.1926920858605316E-2"/>
    <n v="-9264.4400000000023"/>
    <n v="0.94335962587826161"/>
  </r>
  <r>
    <s v="AP-105"/>
    <x v="4"/>
    <s v="DoD"/>
    <s v="Autonomous Systems"/>
    <s v="Priya Shah"/>
    <x v="10"/>
    <x v="4"/>
    <n v="38343.699999999997"/>
    <n v="38246.730000000003"/>
    <n v="38495.14"/>
    <n v="38861.57"/>
    <n v="-96.969999999993888"/>
    <n v="-2.5289682529331778E-3"/>
    <n v="248.40999999999622"/>
    <n v="1.0064949343381773"/>
  </r>
  <r>
    <s v="AP-105"/>
    <x v="4"/>
    <s v="DoD"/>
    <s v="Autonomous Systems"/>
    <s v="Priya Shah"/>
    <x v="10"/>
    <x v="5"/>
    <n v="57155.27"/>
    <n v="55828.09"/>
    <n v="57985.64"/>
    <n v="57269.279999999999"/>
    <n v="-1327.1800000000003"/>
    <n v="-2.3220605903882537E-2"/>
    <n v="2157.5500000000029"/>
    <n v="1.038646315859991"/>
  </r>
  <r>
    <s v="AP-105"/>
    <x v="4"/>
    <s v="DoD"/>
    <s v="Autonomous Systems"/>
    <s v="Priya Shah"/>
    <x v="11"/>
    <x v="0"/>
    <n v="345597.44"/>
    <n v="351243.51"/>
    <n v="339367.61"/>
    <n v="348461.7"/>
    <n v="5646.070000000007"/>
    <n v="1.6337129117623115E-2"/>
    <n v="-11875.900000000023"/>
    <n v="0.96618898381923124"/>
  </r>
  <r>
    <s v="AP-105"/>
    <x v="4"/>
    <s v="DoD"/>
    <s v="Autonomous Systems"/>
    <s v="Priya Shah"/>
    <x v="11"/>
    <x v="1"/>
    <n v="281590"/>
    <n v="283462.55"/>
    <n v="276215.65999999997"/>
    <n v="280313.86"/>
    <n v="1872.5499999999884"/>
    <n v="6.6499165453318245E-3"/>
    <n v="-7246.890000000014"/>
    <n v="0.9744344005936586"/>
  </r>
  <r>
    <s v="AP-105"/>
    <x v="4"/>
    <s v="DoD"/>
    <s v="Autonomous Systems"/>
    <s v="Priya Shah"/>
    <x v="11"/>
    <x v="2"/>
    <n v="219602.7"/>
    <n v="218205.53"/>
    <n v="222937.33"/>
    <n v="219962.5"/>
    <n v="-1397.1700000000128"/>
    <n v="-6.3622623947702499E-3"/>
    <n v="4731.7999999999884"/>
    <n v="1.0216850599524219"/>
  </r>
  <r>
    <s v="AP-105"/>
    <x v="4"/>
    <s v="DoD"/>
    <s v="Autonomous Systems"/>
    <s v="Priya Shah"/>
    <x v="11"/>
    <x v="3"/>
    <n v="154134.84"/>
    <n v="155361.51"/>
    <n v="158558.42000000001"/>
    <n v="155219.21"/>
    <n v="1226.6700000000128"/>
    <n v="7.9584213406911301E-3"/>
    <n v="3196.9100000000035"/>
    <n v="1.020577233061136"/>
  </r>
  <r>
    <s v="AP-105"/>
    <x v="4"/>
    <s v="DoD"/>
    <s v="Autonomous Systems"/>
    <s v="Priya Shah"/>
    <x v="11"/>
    <x v="4"/>
    <n v="38510.11"/>
    <n v="39277.61"/>
    <n v="38223.75"/>
    <n v="39181.47"/>
    <n v="767.5"/>
    <n v="1.9929831413101649E-2"/>
    <n v="-1053.8600000000006"/>
    <n v="0.97316893772304369"/>
  </r>
  <r>
    <s v="AP-105"/>
    <x v="4"/>
    <s v="DoD"/>
    <s v="Autonomous Systems"/>
    <s v="Priya Shah"/>
    <x v="11"/>
    <x v="5"/>
    <n v="59598.66"/>
    <n v="57529.94"/>
    <n v="60554.14"/>
    <n v="58821.83"/>
    <n v="-2068.7200000000012"/>
    <n v="-3.4710847525766537E-2"/>
    <n v="3024.1999999999971"/>
    <n v="1.052567410986349"/>
  </r>
  <r>
    <s v="AP-105"/>
    <x v="4"/>
    <s v="DoD"/>
    <s v="Autonomous Systems"/>
    <s v="Priya Shah"/>
    <x v="12"/>
    <x v="0"/>
    <n v="327941.90000000002"/>
    <n v="322880.74"/>
    <n v="334201.23"/>
    <n v="326583.3"/>
    <n v="-5061.1600000000326"/>
    <n v="-1.5433099582578597E-2"/>
    <n v="11320.489999999991"/>
    <n v="1.0350609020531853"/>
  </r>
  <r>
    <s v="AP-105"/>
    <x v="4"/>
    <s v="DoD"/>
    <s v="Autonomous Systems"/>
    <s v="Priya Shah"/>
    <x v="12"/>
    <x v="1"/>
    <n v="252041.01"/>
    <n v="246780.24"/>
    <n v="248300.3"/>
    <n v="249454.34"/>
    <n v="-5260.7700000000186"/>
    <n v="-2.0872674649256556E-2"/>
    <n v="1520.0599999999977"/>
    <n v="1.0061595693399115"/>
  </r>
  <r>
    <s v="AP-105"/>
    <x v="4"/>
    <s v="DoD"/>
    <s v="Autonomous Systems"/>
    <s v="Priya Shah"/>
    <x v="12"/>
    <x v="2"/>
    <n v="203395.87"/>
    <n v="201950.67"/>
    <n v="198701.94"/>
    <n v="200902.35"/>
    <n v="-1445.1999999999825"/>
    <n v="-7.1053556790508215E-3"/>
    <n v="-3248.7300000000105"/>
    <n v="0.98391324970598015"/>
  </r>
  <r>
    <s v="AP-105"/>
    <x v="4"/>
    <s v="DoD"/>
    <s v="Autonomous Systems"/>
    <s v="Priya Shah"/>
    <x v="12"/>
    <x v="3"/>
    <n v="148652.44"/>
    <n v="148970.71"/>
    <n v="150268.04999999999"/>
    <n v="147442.84"/>
    <n v="318.26999999998952"/>
    <n v="2.1410344828513379E-3"/>
    <n v="1297.3399999999965"/>
    <n v="1.008708691795857"/>
  </r>
  <r>
    <s v="AP-105"/>
    <x v="4"/>
    <s v="DoD"/>
    <s v="Autonomous Systems"/>
    <s v="Priya Shah"/>
    <x v="12"/>
    <x v="4"/>
    <n v="36690.99"/>
    <n v="35624.080000000002"/>
    <n v="35613.93"/>
    <n v="36453.519999999997"/>
    <n v="-1066.9099999999962"/>
    <n v="-2.907825599690813E-2"/>
    <n v="-10.150000000001455"/>
    <n v="0.99971508036137346"/>
  </r>
  <r>
    <s v="AP-105"/>
    <x v="4"/>
    <s v="DoD"/>
    <s v="Autonomous Systems"/>
    <s v="Priya Shah"/>
    <x v="12"/>
    <x v="5"/>
    <n v="55576.43"/>
    <n v="55400.65"/>
    <n v="56048.53"/>
    <n v="55073.85"/>
    <n v="-175.77999999999884"/>
    <n v="-3.1628515901434987E-3"/>
    <n v="647.87999999999738"/>
    <n v="1.0116944476283221"/>
  </r>
  <r>
    <s v="AP-105"/>
    <x v="4"/>
    <s v="DoD"/>
    <s v="Autonomous Systems"/>
    <s v="Priya Shah"/>
    <x v="13"/>
    <x v="0"/>
    <n v="335097.93"/>
    <n v="329297.38"/>
    <n v="334766.34000000003"/>
    <n v="328434.58"/>
    <n v="-5800.5499999999884"/>
    <n v="-1.7310014418770024E-2"/>
    <n v="5468.960000000021"/>
    <n v="1.016607966938577"/>
  </r>
  <r>
    <s v="AP-105"/>
    <x v="4"/>
    <s v="DoD"/>
    <s v="Autonomous Systems"/>
    <s v="Priya Shah"/>
    <x v="13"/>
    <x v="1"/>
    <n v="259531.84"/>
    <n v="261487.18"/>
    <n v="251947.12"/>
    <n v="260498.68"/>
    <n v="1955.3399999999965"/>
    <n v="7.5341044859852128E-3"/>
    <n v="-9540.0599999999977"/>
    <n v="0.9635161463747477"/>
  </r>
  <r>
    <s v="AP-105"/>
    <x v="4"/>
    <s v="DoD"/>
    <s v="Autonomous Systems"/>
    <s v="Priya Shah"/>
    <x v="13"/>
    <x v="2"/>
    <n v="213083.34"/>
    <n v="206401.89"/>
    <n v="206897.59"/>
    <n v="206785.23"/>
    <n v="-6681.4499999999825"/>
    <n v="-3.1356041255970468E-2"/>
    <n v="495.69999999998254"/>
    <n v="1.0024016252951946"/>
  </r>
  <r>
    <s v="AP-105"/>
    <x v="4"/>
    <s v="DoD"/>
    <s v="Autonomous Systems"/>
    <s v="Priya Shah"/>
    <x v="13"/>
    <x v="3"/>
    <n v="156425.28"/>
    <n v="157747.94"/>
    <n v="160824.07"/>
    <n v="155652.03"/>
    <n v="1322.6600000000035"/>
    <n v="8.4555386443930514E-3"/>
    <n v="3076.1300000000047"/>
    <n v="1.0195002863428835"/>
  </r>
  <r>
    <s v="AP-105"/>
    <x v="4"/>
    <s v="DoD"/>
    <s v="Autonomous Systems"/>
    <s v="Priya Shah"/>
    <x v="13"/>
    <x v="4"/>
    <n v="37413.800000000003"/>
    <n v="37887.410000000003"/>
    <n v="38303.75"/>
    <n v="37704.379999999997"/>
    <n v="473.61000000000058"/>
    <n v="1.2658698127428931E-2"/>
    <n v="416.33999999999651"/>
    <n v="1.0109888746683924"/>
  </r>
  <r>
    <s v="AP-105"/>
    <x v="4"/>
    <s v="DoD"/>
    <s v="Autonomous Systems"/>
    <s v="Priya Shah"/>
    <x v="13"/>
    <x v="5"/>
    <n v="54275.26"/>
    <n v="54636.39"/>
    <n v="55768.26"/>
    <n v="54043.94"/>
    <n v="361.12999999999738"/>
    <n v="6.6536760947805201E-3"/>
    <n v="1131.8700000000026"/>
    <n v="1.0207164126326795"/>
  </r>
  <r>
    <s v="AP-105"/>
    <x v="4"/>
    <s v="DoD"/>
    <s v="Autonomous Systems"/>
    <s v="Priya Shah"/>
    <x v="14"/>
    <x v="0"/>
    <n v="345639.82"/>
    <n v="347876.82"/>
    <n v="354146.8"/>
    <n v="352250.29"/>
    <n v="2237"/>
    <n v="6.4720552163231651E-3"/>
    <n v="6269.9799999999814"/>
    <n v="1.0180235636280681"/>
  </r>
  <r>
    <s v="AP-105"/>
    <x v="4"/>
    <s v="DoD"/>
    <s v="Autonomous Systems"/>
    <s v="Priya Shah"/>
    <x v="14"/>
    <x v="1"/>
    <n v="260502.17"/>
    <n v="257150.3"/>
    <n v="254177.62"/>
    <n v="261534.44"/>
    <n v="-3351.8700000000244"/>
    <n v="-1.2866956156257832E-2"/>
    <n v="-2972.679999999993"/>
    <n v="0.9884399123780917"/>
  </r>
  <r>
    <s v="AP-105"/>
    <x v="4"/>
    <s v="DoD"/>
    <s v="Autonomous Systems"/>
    <s v="Priya Shah"/>
    <x v="14"/>
    <x v="2"/>
    <n v="217462.6"/>
    <n v="215219.73"/>
    <n v="217062.61"/>
    <n v="218245.43"/>
    <n v="-2242.8699999999953"/>
    <n v="-1.0313819479763396E-2"/>
    <n v="1842.8799999999756"/>
    <n v="1.0085627837187603"/>
  </r>
  <r>
    <s v="AP-105"/>
    <x v="4"/>
    <s v="DoD"/>
    <s v="Autonomous Systems"/>
    <s v="Priya Shah"/>
    <x v="14"/>
    <x v="3"/>
    <n v="152293.62"/>
    <n v="152873.42000000001"/>
    <n v="149043.24"/>
    <n v="151792.76999999999"/>
    <n v="579.80000000001746"/>
    <n v="3.8071194315298139E-3"/>
    <n v="-3830.1800000000221"/>
    <n v="0.9749454156255547"/>
  </r>
  <r>
    <s v="AP-105"/>
    <x v="4"/>
    <s v="DoD"/>
    <s v="Autonomous Systems"/>
    <s v="Priya Shah"/>
    <x v="14"/>
    <x v="4"/>
    <n v="35121.71"/>
    <n v="34092.080000000002"/>
    <n v="35311.449999999997"/>
    <n v="34789.769999999997"/>
    <n v="-1029.6299999999974"/>
    <n v="-2.9316055510964511E-2"/>
    <n v="1219.3699999999953"/>
    <n v="1.0357669581908759"/>
  </r>
  <r>
    <s v="AP-105"/>
    <x v="4"/>
    <s v="DoD"/>
    <s v="Autonomous Systems"/>
    <s v="Priya Shah"/>
    <x v="14"/>
    <x v="5"/>
    <n v="55362.47"/>
    <n v="53950.51"/>
    <n v="56085"/>
    <n v="54700.66"/>
    <n v="-1411.9599999999991"/>
    <n v="-2.55039198937475E-2"/>
    <n v="2134.489999999998"/>
    <n v="1.0395638521304063"/>
  </r>
  <r>
    <s v="AP-105"/>
    <x v="4"/>
    <s v="DoD"/>
    <s v="Autonomous Systems"/>
    <s v="Priya Shah"/>
    <x v="15"/>
    <x v="0"/>
    <n v="332508.21000000002"/>
    <n v="315409.28999999998"/>
    <n v="342156.41"/>
    <n v="319847.26"/>
    <n v="-17098.920000000042"/>
    <n v="-5.1424053559459601E-2"/>
    <n v="26747.119999999995"/>
    <n v="1.0848013068987283"/>
  </r>
  <r>
    <s v="AP-105"/>
    <x v="4"/>
    <s v="DoD"/>
    <s v="Autonomous Systems"/>
    <s v="Priya Shah"/>
    <x v="15"/>
    <x v="1"/>
    <n v="260516.58"/>
    <n v="253957.6"/>
    <n v="268157.95"/>
    <n v="255930.14"/>
    <n v="-6558.9799999999814"/>
    <n v="-2.5176823678554287E-2"/>
    <n v="14200.350000000006"/>
    <n v="1.0559162238105888"/>
  </r>
  <r>
    <s v="AP-105"/>
    <x v="4"/>
    <s v="DoD"/>
    <s v="Autonomous Systems"/>
    <s v="Priya Shah"/>
    <x v="15"/>
    <x v="2"/>
    <n v="215530.34"/>
    <n v="207434.18"/>
    <n v="222266.37"/>
    <n v="211171.81"/>
    <n v="-8096.1600000000035"/>
    <n v="-3.7563899356350496E-2"/>
    <n v="14832.190000000002"/>
    <n v="1.0715031148675691"/>
  </r>
  <r>
    <s v="AP-105"/>
    <x v="4"/>
    <s v="DoD"/>
    <s v="Autonomous Systems"/>
    <s v="Priya Shah"/>
    <x v="15"/>
    <x v="3"/>
    <n v="151132.81"/>
    <n v="140324.01"/>
    <n v="155310.45000000001"/>
    <n v="145630.54"/>
    <n v="-10808.799999999988"/>
    <n v="-7.1518553780611824E-2"/>
    <n v="14986.440000000002"/>
    <n v="1.1067988293664071"/>
  </r>
  <r>
    <s v="AP-105"/>
    <x v="4"/>
    <s v="DoD"/>
    <s v="Autonomous Systems"/>
    <s v="Priya Shah"/>
    <x v="15"/>
    <x v="4"/>
    <n v="35461.599999999999"/>
    <n v="33771.32"/>
    <n v="35282.379999999997"/>
    <n v="34748"/>
    <n v="-1690.2799999999988"/>
    <n v="-4.7665079973830814E-2"/>
    <n v="1511.0599999999977"/>
    <n v="1.0447438832713676"/>
  </r>
  <r>
    <s v="AP-105"/>
    <x v="4"/>
    <s v="DoD"/>
    <s v="Autonomous Systems"/>
    <s v="Priya Shah"/>
    <x v="15"/>
    <x v="5"/>
    <n v="55358.76"/>
    <n v="55572.77"/>
    <n v="55849.88"/>
    <n v="55470.12"/>
    <n v="214.00999999999476"/>
    <n v="3.8658741633662811E-3"/>
    <n v="277.11000000000058"/>
    <n v="1.0049864349032809"/>
  </r>
  <r>
    <s v="AP-105"/>
    <x v="4"/>
    <s v="DoD"/>
    <s v="Autonomous Systems"/>
    <s v="Priya Shah"/>
    <x v="16"/>
    <x v="0"/>
    <n v="339249.43"/>
    <n v="336765.25"/>
    <n v="335985.3"/>
    <n v="334294.61"/>
    <n v="-2484.179999999993"/>
    <n v="-7.3225767836956812E-3"/>
    <n v="-779.95000000001164"/>
    <n v="0.99768399500839233"/>
  </r>
  <r>
    <s v="AP-105"/>
    <x v="4"/>
    <s v="DoD"/>
    <s v="Autonomous Systems"/>
    <s v="Priya Shah"/>
    <x v="16"/>
    <x v="1"/>
    <n v="276744.42"/>
    <n v="269376.59000000003"/>
    <n v="282956.24"/>
    <n v="275673.57"/>
    <n v="-7367.8299999999581"/>
    <n v="-2.6623228753808147E-2"/>
    <n v="13579.649999999965"/>
    <n v="1.0504113961796011"/>
  </r>
  <r>
    <s v="AP-105"/>
    <x v="4"/>
    <s v="DoD"/>
    <s v="Autonomous Systems"/>
    <s v="Priya Shah"/>
    <x v="16"/>
    <x v="2"/>
    <n v="218356.16"/>
    <n v="210028.36"/>
    <n v="220612.75"/>
    <n v="211553.35"/>
    <n v="-8327.8000000000175"/>
    <n v="-3.8138608042933238E-2"/>
    <n v="10584.390000000014"/>
    <n v="1.0503950514111524"/>
  </r>
  <r>
    <s v="AP-105"/>
    <x v="4"/>
    <s v="DoD"/>
    <s v="Autonomous Systems"/>
    <s v="Priya Shah"/>
    <x v="16"/>
    <x v="3"/>
    <n v="157636.49"/>
    <n v="153988.48000000001"/>
    <n v="164557.38"/>
    <n v="157607.17000000001"/>
    <n v="-3648.0099999999802"/>
    <n v="-2.3141913398350727E-2"/>
    <n v="10568.899999999994"/>
    <n v="1.0686343549855157"/>
  </r>
  <r>
    <s v="AP-105"/>
    <x v="4"/>
    <s v="DoD"/>
    <s v="Autonomous Systems"/>
    <s v="Priya Shah"/>
    <x v="16"/>
    <x v="4"/>
    <n v="37995.18"/>
    <n v="37225.97"/>
    <n v="37488.35"/>
    <n v="37746.85"/>
    <n v="-769.20999999999913"/>
    <n v="-2.0244936331397803E-2"/>
    <n v="262.37999999999738"/>
    <n v="1.0070483052557127"/>
  </r>
  <r>
    <s v="AP-105"/>
    <x v="4"/>
    <s v="DoD"/>
    <s v="Autonomous Systems"/>
    <s v="Priya Shah"/>
    <x v="16"/>
    <x v="5"/>
    <n v="59245.68"/>
    <n v="54431.27"/>
    <n v="58658.55"/>
    <n v="55692.58"/>
    <n v="-4814.4100000000035"/>
    <n v="-8.1261789889153155E-2"/>
    <n v="4227.2800000000061"/>
    <n v="1.0776627111584942"/>
  </r>
  <r>
    <s v="AP-105"/>
    <x v="4"/>
    <s v="DoD"/>
    <s v="Autonomous Systems"/>
    <s v="Priya Shah"/>
    <x v="17"/>
    <x v="0"/>
    <n v="351326.9"/>
    <n v="328175.62"/>
    <n v="364240.11"/>
    <n v="332174.65000000002"/>
    <n v="-23151.280000000028"/>
    <n v="-6.589669051814713E-2"/>
    <n v="36064.489999999991"/>
    <n v="1.1098938732865042"/>
  </r>
  <r>
    <s v="AP-105"/>
    <x v="4"/>
    <s v="DoD"/>
    <s v="Autonomous Systems"/>
    <s v="Priya Shah"/>
    <x v="17"/>
    <x v="1"/>
    <n v="275666.42"/>
    <n v="265757.02"/>
    <n v="292083.07"/>
    <n v="271528.56"/>
    <n v="-9909.3999999999651"/>
    <n v="-3.5947069650340314E-2"/>
    <n v="26326.049999999988"/>
    <n v="1.0990606005440609"/>
  </r>
  <r>
    <s v="AP-105"/>
    <x v="4"/>
    <s v="DoD"/>
    <s v="Autonomous Systems"/>
    <s v="Priya Shah"/>
    <x v="17"/>
    <x v="2"/>
    <n v="209497.42"/>
    <n v="192980.04"/>
    <n v="211647.33"/>
    <n v="197797.41"/>
    <n v="-16517.380000000005"/>
    <n v="-7.8842880260768855E-2"/>
    <n v="18667.289999999979"/>
    <n v="1.0967317138083295"/>
  </r>
  <r>
    <s v="AP-105"/>
    <x v="4"/>
    <s v="DoD"/>
    <s v="Autonomous Systems"/>
    <s v="Priya Shah"/>
    <x v="17"/>
    <x v="3"/>
    <n v="156363.66"/>
    <n v="145321.81"/>
    <n v="156402.76"/>
    <n v="150808.12"/>
    <n v="-11041.850000000006"/>
    <n v="-7.0616471883556617E-2"/>
    <n v="11080.950000000012"/>
    <n v="1.0762511146812719"/>
  </r>
  <r>
    <s v="AP-105"/>
    <x v="4"/>
    <s v="DoD"/>
    <s v="Autonomous Systems"/>
    <s v="Priya Shah"/>
    <x v="17"/>
    <x v="4"/>
    <n v="38317.35"/>
    <n v="36989.300000000003"/>
    <n v="38457.160000000003"/>
    <n v="38079.49"/>
    <n v="-1328.0499999999956"/>
    <n v="-3.4659234002351304E-2"/>
    <n v="1467.8600000000006"/>
    <n v="1.0396833678928772"/>
  </r>
  <r>
    <s v="AP-105"/>
    <x v="4"/>
    <s v="DoD"/>
    <s v="Autonomous Systems"/>
    <s v="Priya Shah"/>
    <x v="17"/>
    <x v="5"/>
    <n v="59541.63"/>
    <n v="56371.06"/>
    <n v="60076.06"/>
    <n v="56941.75"/>
    <n v="-3170.5699999999997"/>
    <n v="-5.3249633911601008E-2"/>
    <n v="3705"/>
    <n v="1.0657252143209655"/>
  </r>
  <r>
    <s v="AP-105"/>
    <x v="4"/>
    <s v="DoD"/>
    <s v="Autonomous Systems"/>
    <s v="Priya Shah"/>
    <x v="18"/>
    <x v="0"/>
    <n v="350165.16"/>
    <n v="339381.52"/>
    <n v="353447.03"/>
    <n v="345429.86"/>
    <n v="-10783.639999999956"/>
    <n v="-3.0795867869893044E-2"/>
    <n v="14065.510000000009"/>
    <n v="1.0414445371097401"/>
  </r>
  <r>
    <s v="AP-105"/>
    <x v="4"/>
    <s v="DoD"/>
    <s v="Autonomous Systems"/>
    <s v="Priya Shah"/>
    <x v="18"/>
    <x v="1"/>
    <n v="272906.81"/>
    <n v="260261.56"/>
    <n v="280181.42"/>
    <n v="265832.12"/>
    <n v="-12645.25"/>
    <n v="-4.6335413909238836E-2"/>
    <n v="19919.859999999986"/>
    <n v="1.076537849077674"/>
  </r>
  <r>
    <s v="AP-105"/>
    <x v="4"/>
    <s v="DoD"/>
    <s v="Autonomous Systems"/>
    <s v="Priya Shah"/>
    <x v="18"/>
    <x v="2"/>
    <n v="221935.85"/>
    <n v="205324.81"/>
    <n v="230585.43"/>
    <n v="211668.18"/>
    <n v="-16611.040000000008"/>
    <n v="-7.4846132339592752E-2"/>
    <n v="25260.619999999995"/>
    <n v="1.1230276068440048"/>
  </r>
  <r>
    <s v="AP-105"/>
    <x v="4"/>
    <s v="DoD"/>
    <s v="Autonomous Systems"/>
    <s v="Priya Shah"/>
    <x v="18"/>
    <x v="3"/>
    <n v="158414.75"/>
    <n v="152797.70000000001"/>
    <n v="165722.26999999999"/>
    <n v="153395.97"/>
    <n v="-5617.0499999999884"/>
    <n v="-3.5457872451902288E-2"/>
    <n v="12924.569999999978"/>
    <n v="1.0845861554198786"/>
  </r>
  <r>
    <s v="AP-105"/>
    <x v="4"/>
    <s v="DoD"/>
    <s v="Autonomous Systems"/>
    <s v="Priya Shah"/>
    <x v="18"/>
    <x v="4"/>
    <n v="37998.22"/>
    <n v="36262.06"/>
    <n v="39197.760000000002"/>
    <n v="37093.93"/>
    <n v="-1736.1600000000035"/>
    <n v="-4.5690561294713369E-2"/>
    <n v="2935.7000000000044"/>
    <n v="1.0809578937324578"/>
  </r>
  <r>
    <s v="AP-105"/>
    <x v="4"/>
    <s v="DoD"/>
    <s v="Autonomous Systems"/>
    <s v="Priya Shah"/>
    <x v="18"/>
    <x v="5"/>
    <n v="60679.13"/>
    <n v="57759.49"/>
    <n v="63453.05"/>
    <n v="59652.13"/>
    <n v="-2919.6399999999994"/>
    <n v="-4.8116049125951535E-2"/>
    <n v="5693.5600000000049"/>
    <n v="1.098573585050699"/>
  </r>
  <r>
    <s v="AP-105"/>
    <x v="4"/>
    <s v="DoD"/>
    <s v="Autonomous Systems"/>
    <s v="Priya Shah"/>
    <x v="19"/>
    <x v="0"/>
    <n v="367712.87"/>
    <n v="345082.44"/>
    <n v="390210.48"/>
    <n v="351712.59"/>
    <n v="-22630.429999999993"/>
    <n v="-6.1543752874355456E-2"/>
    <n v="45128.039999999979"/>
    <n v="1.1307746635847364"/>
  </r>
  <r>
    <s v="AP-105"/>
    <x v="4"/>
    <s v="DoD"/>
    <s v="Autonomous Systems"/>
    <s v="Priya Shah"/>
    <x v="19"/>
    <x v="1"/>
    <n v="279009.3"/>
    <n v="263382.43"/>
    <n v="281345.18"/>
    <n v="266719.01"/>
    <n v="-15626.869999999995"/>
    <n v="-5.6008419791024874E-2"/>
    <n v="17962.75"/>
    <n v="1.0682002592200246"/>
  </r>
  <r>
    <s v="AP-105"/>
    <x v="4"/>
    <s v="DoD"/>
    <s v="Autonomous Systems"/>
    <s v="Priya Shah"/>
    <x v="19"/>
    <x v="2"/>
    <n v="216964.04"/>
    <n v="205052.3"/>
    <n v="220578.49"/>
    <n v="212647.08"/>
    <n v="-11911.74000000002"/>
    <n v="-5.4901909090557213E-2"/>
    <n v="15526.190000000002"/>
    <n v="1.0757181948215162"/>
  </r>
  <r>
    <s v="AP-105"/>
    <x v="4"/>
    <s v="DoD"/>
    <s v="Autonomous Systems"/>
    <s v="Priya Shah"/>
    <x v="19"/>
    <x v="3"/>
    <n v="163507.95000000001"/>
    <n v="152404.51"/>
    <n v="165322.85999999999"/>
    <n v="155833.73000000001"/>
    <n v="-11103.440000000002"/>
    <n v="-6.790764608081748E-2"/>
    <n v="12918.349999999977"/>
    <n v="1.0847635676923209"/>
  </r>
  <r>
    <s v="AP-105"/>
    <x v="4"/>
    <s v="DoD"/>
    <s v="Autonomous Systems"/>
    <s v="Priya Shah"/>
    <x v="19"/>
    <x v="4"/>
    <n v="36737.019999999997"/>
    <n v="34374.22"/>
    <n v="37753.480000000003"/>
    <n v="35405.61"/>
    <n v="-2362.7999999999956"/>
    <n v="-6.4316593997008897E-2"/>
    <n v="3379.260000000002"/>
    <n v="1.0983079761518952"/>
  </r>
  <r>
    <s v="AP-105"/>
    <x v="4"/>
    <s v="DoD"/>
    <s v="Autonomous Systems"/>
    <s v="Priya Shah"/>
    <x v="19"/>
    <x v="5"/>
    <n v="59319.42"/>
    <n v="57497.84"/>
    <n v="58284.51"/>
    <n v="57786.2"/>
    <n v="-1821.5800000000017"/>
    <n v="-3.0707987367374831E-2"/>
    <n v="786.67000000000553"/>
    <n v="1.0136817313485169"/>
  </r>
  <r>
    <s v="AP-105"/>
    <x v="4"/>
    <s v="DoD"/>
    <s v="Autonomous Systems"/>
    <s v="Priya Shah"/>
    <x v="20"/>
    <x v="0"/>
    <n v="358578.04"/>
    <n v="350493.69"/>
    <n v="374618.47"/>
    <n v="356305.27"/>
    <n v="-8084.3499999999767"/>
    <n v="-2.2545580314957316E-2"/>
    <n v="24124.77999999997"/>
    <n v="1.0688308539876994"/>
  </r>
  <r>
    <s v="AP-105"/>
    <x v="4"/>
    <s v="DoD"/>
    <s v="Autonomous Systems"/>
    <s v="Priya Shah"/>
    <x v="20"/>
    <x v="1"/>
    <n v="288988.65000000002"/>
    <n v="282923.09000000003"/>
    <n v="290446.09999999998"/>
    <n v="283677.55"/>
    <n v="-6065.5599999999977"/>
    <n v="-2.098892119119556E-2"/>
    <n v="7523.0099999999511"/>
    <n v="1.0265903005654291"/>
  </r>
  <r>
    <s v="AP-105"/>
    <x v="4"/>
    <s v="DoD"/>
    <s v="Autonomous Systems"/>
    <s v="Priya Shah"/>
    <x v="20"/>
    <x v="2"/>
    <n v="221456.83"/>
    <n v="218817.03"/>
    <n v="225941.93"/>
    <n v="220848.36"/>
    <n v="-2639.7999999999884"/>
    <n v="-1.1920156176713938E-2"/>
    <n v="7124.8999999999942"/>
    <n v="1.0325609939957598"/>
  </r>
  <r>
    <s v="AP-105"/>
    <x v="4"/>
    <s v="DoD"/>
    <s v="Autonomous Systems"/>
    <s v="Priya Shah"/>
    <x v="20"/>
    <x v="3"/>
    <n v="156981.46"/>
    <n v="152555.79"/>
    <n v="162958.57"/>
    <n v="155251.89000000001"/>
    <n v="-4425.6699999999837"/>
    <n v="-2.8192310098275199E-2"/>
    <n v="10402.779999999999"/>
    <n v="1.0681900044567303"/>
  </r>
  <r>
    <s v="AP-105"/>
    <x v="4"/>
    <s v="DoD"/>
    <s v="Autonomous Systems"/>
    <s v="Priya Shah"/>
    <x v="20"/>
    <x v="4"/>
    <n v="38616.089999999997"/>
    <n v="38707.65"/>
    <n v="38915.599999999999"/>
    <n v="38713.980000000003"/>
    <n v="91.560000000004948"/>
    <n v="2.3710323857232814E-3"/>
    <n v="207.94999999999709"/>
    <n v="1.0053723230420859"/>
  </r>
  <r>
    <s v="AP-105"/>
    <x v="4"/>
    <s v="DoD"/>
    <s v="Autonomous Systems"/>
    <s v="Priya Shah"/>
    <x v="20"/>
    <x v="5"/>
    <n v="59781.66"/>
    <n v="58495.99"/>
    <n v="58628.42"/>
    <n v="58669.19"/>
    <n v="-1285.6700000000055"/>
    <n v="-2.1506094009433752E-2"/>
    <n v="132.43000000000029"/>
    <n v="1.002263915868421"/>
  </r>
  <r>
    <s v="AP-105"/>
    <x v="4"/>
    <s v="DoD"/>
    <s v="Autonomous Systems"/>
    <s v="Priya Shah"/>
    <x v="21"/>
    <x v="0"/>
    <n v="361343.91"/>
    <n v="348177.67"/>
    <n v="375092.61"/>
    <n v="349869.62"/>
    <n v="-13166.239999999991"/>
    <n v="-3.6436867027868247E-2"/>
    <n v="26914.940000000002"/>
    <n v="1.0773023152231445"/>
  </r>
  <r>
    <s v="AP-105"/>
    <x v="4"/>
    <s v="DoD"/>
    <s v="Autonomous Systems"/>
    <s v="Priya Shah"/>
    <x v="21"/>
    <x v="1"/>
    <n v="273735.45"/>
    <n v="265343.96999999997"/>
    <n v="279381.3"/>
    <n v="266212.89"/>
    <n v="-8391.4800000000396"/>
    <n v="-3.06554375766823E-2"/>
    <n v="14037.330000000016"/>
    <n v="1.0529023893024592"/>
  </r>
  <r>
    <s v="AP-105"/>
    <x v="4"/>
    <s v="DoD"/>
    <s v="Autonomous Systems"/>
    <s v="Priya Shah"/>
    <x v="21"/>
    <x v="2"/>
    <n v="216383.08"/>
    <n v="207627.25"/>
    <n v="220054.56"/>
    <n v="208098.78"/>
    <n v="-8755.8299999999872"/>
    <n v="-4.0464485485648821E-2"/>
    <n v="12427.309999999998"/>
    <n v="1.0598539449903612"/>
  </r>
  <r>
    <s v="AP-105"/>
    <x v="4"/>
    <s v="DoD"/>
    <s v="Autonomous Systems"/>
    <s v="Priya Shah"/>
    <x v="21"/>
    <x v="3"/>
    <n v="160142.18"/>
    <n v="153022.09"/>
    <n v="169408.95"/>
    <n v="154137.82"/>
    <n v="-7120.0899999999965"/>
    <n v="-4.4461053296514362E-2"/>
    <n v="16386.860000000015"/>
    <n v="1.1070881988345604"/>
  </r>
  <r>
    <s v="AP-105"/>
    <x v="4"/>
    <s v="DoD"/>
    <s v="Autonomous Systems"/>
    <s v="Priya Shah"/>
    <x v="21"/>
    <x v="4"/>
    <n v="38935.35"/>
    <n v="38286.83"/>
    <n v="40427.35"/>
    <n v="38575.279999999999"/>
    <n v="-648.5199999999968"/>
    <n v="-1.6656329017204079E-2"/>
    <n v="2140.5199999999968"/>
    <n v="1.0559074752336508"/>
  </r>
  <r>
    <s v="AP-105"/>
    <x v="4"/>
    <s v="DoD"/>
    <s v="Autonomous Systems"/>
    <s v="Priya Shah"/>
    <x v="21"/>
    <x v="5"/>
    <n v="58525.65"/>
    <n v="55278.63"/>
    <n v="60899.360000000001"/>
    <n v="57226.62"/>
    <n v="-3247.0200000000041"/>
    <n v="-5.548028941156577E-2"/>
    <n v="5620.7300000000032"/>
    <n v="1.1016799801297537"/>
  </r>
  <r>
    <s v="AP-105"/>
    <x v="4"/>
    <s v="DoD"/>
    <s v="Autonomous Systems"/>
    <s v="Priya Shah"/>
    <x v="22"/>
    <x v="0"/>
    <n v="350792.07"/>
    <n v="334627.09999999998"/>
    <n v="362717.1"/>
    <n v="344310.81"/>
    <n v="-16164.97000000003"/>
    <n v="-4.6081343857060482E-2"/>
    <n v="28090"/>
    <n v="1.0839441874253459"/>
  </r>
  <r>
    <s v="AP-105"/>
    <x v="4"/>
    <s v="DoD"/>
    <s v="Autonomous Systems"/>
    <s v="Priya Shah"/>
    <x v="22"/>
    <x v="1"/>
    <n v="291362.92"/>
    <n v="281173.44"/>
    <n v="289624.45"/>
    <n v="286050.03000000003"/>
    <n v="-10189.479999999981"/>
    <n v="-3.4971780211428355E-2"/>
    <n v="8451.0100000000093"/>
    <n v="1.0300562172586429"/>
  </r>
  <r>
    <s v="AP-105"/>
    <x v="4"/>
    <s v="DoD"/>
    <s v="Autonomous Systems"/>
    <s v="Priya Shah"/>
    <x v="22"/>
    <x v="2"/>
    <n v="220079.85"/>
    <n v="208177.04"/>
    <n v="222774.94"/>
    <n v="214520.36"/>
    <n v="-11902.809999999998"/>
    <n v="-5.4084051765756827E-2"/>
    <n v="14597.899999999994"/>
    <n v="1.0701225264803458"/>
  </r>
  <r>
    <s v="AP-105"/>
    <x v="4"/>
    <s v="DoD"/>
    <s v="Autonomous Systems"/>
    <s v="Priya Shah"/>
    <x v="22"/>
    <x v="3"/>
    <n v="167896.55"/>
    <n v="155495.96"/>
    <n v="177904.47"/>
    <n v="162475.72"/>
    <n v="-12400.589999999997"/>
    <n v="-7.3858515853958862E-2"/>
    <n v="22408.510000000009"/>
    <n v="1.1441099177110454"/>
  </r>
  <r>
    <s v="AP-105"/>
    <x v="4"/>
    <s v="DoD"/>
    <s v="Autonomous Systems"/>
    <s v="Priya Shah"/>
    <x v="22"/>
    <x v="4"/>
    <n v="40089.33"/>
    <n v="37607.26"/>
    <n v="40250.21"/>
    <n v="39129.65"/>
    <n v="-2482.0699999999997"/>
    <n v="-6.1913481716955598E-2"/>
    <n v="2642.9499999999971"/>
    <n v="1.0702776538359879"/>
  </r>
  <r>
    <s v="AP-105"/>
    <x v="4"/>
    <s v="DoD"/>
    <s v="Autonomous Systems"/>
    <s v="Priya Shah"/>
    <x v="22"/>
    <x v="5"/>
    <n v="62646.86"/>
    <n v="61219.43"/>
    <n v="61822.03"/>
    <n v="61269.29"/>
    <n v="-1427.4300000000003"/>
    <n v="-2.2785339919670359E-2"/>
    <n v="602.59999999999854"/>
    <n v="1.0098432801481489"/>
  </r>
  <r>
    <s v="AP-105"/>
    <x v="4"/>
    <s v="DoD"/>
    <s v="Autonomous Systems"/>
    <s v="Priya Shah"/>
    <x v="23"/>
    <x v="0"/>
    <n v="379465.44"/>
    <n v="350779.08"/>
    <n v="394611.8"/>
    <n v="357829.54"/>
    <n v="-28686.359999999986"/>
    <n v="-7.5596765808237987E-2"/>
    <n v="43832.719999999972"/>
    <n v="1.1249581930598598"/>
  </r>
  <r>
    <s v="AP-105"/>
    <x v="4"/>
    <s v="DoD"/>
    <s v="Autonomous Systems"/>
    <s v="Priya Shah"/>
    <x v="23"/>
    <x v="1"/>
    <n v="289303.98"/>
    <n v="270304.94"/>
    <n v="291215.08"/>
    <n v="280806.14"/>
    <n v="-18999.039999999979"/>
    <n v="-6.5671547277019765E-2"/>
    <n v="20910.140000000014"/>
    <n v="1.0773575947224643"/>
  </r>
  <r>
    <s v="AP-105"/>
    <x v="4"/>
    <s v="DoD"/>
    <s v="Autonomous Systems"/>
    <s v="Priya Shah"/>
    <x v="23"/>
    <x v="2"/>
    <n v="222066.94"/>
    <n v="208822.09"/>
    <n v="234917.98"/>
    <n v="215760.11"/>
    <n v="-13244.850000000006"/>
    <n v="-5.9643502089955426E-2"/>
    <n v="26095.890000000014"/>
    <n v="1.1249670951957238"/>
  </r>
  <r>
    <s v="AP-105"/>
    <x v="4"/>
    <s v="DoD"/>
    <s v="Autonomous Systems"/>
    <s v="Priya Shah"/>
    <x v="23"/>
    <x v="3"/>
    <n v="164111.46"/>
    <n v="152392.01999999999"/>
    <n v="166818.45000000001"/>
    <n v="158516.56"/>
    <n v="-11719.440000000002"/>
    <n v="-7.1411466329042481E-2"/>
    <n v="14426.430000000022"/>
    <n v="1.0946665711236063"/>
  </r>
  <r>
    <s v="AP-105"/>
    <x v="4"/>
    <s v="DoD"/>
    <s v="Autonomous Systems"/>
    <s v="Priya Shah"/>
    <x v="23"/>
    <x v="4"/>
    <n v="38157.599999999999"/>
    <n v="35507.33"/>
    <n v="38873.410000000003"/>
    <n v="35980.620000000003"/>
    <n v="-2650.2699999999968"/>
    <n v="-6.9455888210998518E-2"/>
    <n v="3366.0800000000017"/>
    <n v="1.0947995808189463"/>
  </r>
  <r>
    <s v="AP-105"/>
    <x v="4"/>
    <s v="DoD"/>
    <s v="Autonomous Systems"/>
    <s v="Priya Shah"/>
    <x v="23"/>
    <x v="5"/>
    <n v="60518.41"/>
    <n v="57713.7"/>
    <n v="61174.51"/>
    <n v="59680.95"/>
    <n v="-2804.7100000000064"/>
    <n v="-4.6344740385611691E-2"/>
    <n v="3460.8100000000049"/>
    <n v="1.0599651382600666"/>
  </r>
  <r>
    <s v="AP-106"/>
    <x v="5"/>
    <s v="Commercial"/>
    <s v="Aircraft"/>
    <s v="Michael Grant"/>
    <x v="0"/>
    <x v="0"/>
    <n v="438710.98"/>
    <n v="444839.47"/>
    <n v="425563.65"/>
    <n v="443252.9"/>
    <n v="6128.4899999999907"/>
    <n v="1.3969310729355328E-2"/>
    <n v="-19275.819999999949"/>
    <n v="0.95666791887869129"/>
  </r>
  <r>
    <s v="AP-106"/>
    <x v="5"/>
    <s v="Commercial"/>
    <s v="Aircraft"/>
    <s v="Michael Grant"/>
    <x v="0"/>
    <x v="1"/>
    <n v="345803.53"/>
    <n v="336357.05"/>
    <n v="342717.29"/>
    <n v="343953.93"/>
    <n v="-9446.4800000000396"/>
    <n v="-2.7317477065662225E-2"/>
    <n v="6360.2399999999907"/>
    <n v="1.0189091918840409"/>
  </r>
  <r>
    <s v="AP-106"/>
    <x v="5"/>
    <s v="Commercial"/>
    <s v="Aircraft"/>
    <s v="Michael Grant"/>
    <x v="0"/>
    <x v="2"/>
    <n v="282234.73"/>
    <n v="278230.64"/>
    <n v="274799.28000000003"/>
    <n v="280911.82"/>
    <n v="-4004.0899999999674"/>
    <n v="-1.4187091716175283E-2"/>
    <n v="-3431.359999999986"/>
    <n v="0.9876672101965478"/>
  </r>
  <r>
    <s v="AP-106"/>
    <x v="5"/>
    <s v="Commercial"/>
    <s v="Aircraft"/>
    <s v="Michael Grant"/>
    <x v="0"/>
    <x v="3"/>
    <n v="208057.72"/>
    <n v="206590.88"/>
    <n v="210247.76"/>
    <n v="210158.12"/>
    <n v="-1466.8399999999965"/>
    <n v="-7.050158965502441E-3"/>
    <n v="3656.8800000000047"/>
    <n v="1.017701071799491"/>
  </r>
  <r>
    <s v="AP-106"/>
    <x v="5"/>
    <s v="Commercial"/>
    <s v="Aircraft"/>
    <s v="Michael Grant"/>
    <x v="0"/>
    <x v="4"/>
    <n v="48721.36"/>
    <n v="48130.13"/>
    <n v="49914.48"/>
    <n v="49024.44"/>
    <n v="-591.2300000000032"/>
    <n v="-1.2134923984059624E-2"/>
    <n v="1784.3500000000058"/>
    <n v="1.0370734506638566"/>
  </r>
  <r>
    <s v="AP-106"/>
    <x v="5"/>
    <s v="Commercial"/>
    <s v="Aircraft"/>
    <s v="Michael Grant"/>
    <x v="0"/>
    <x v="5"/>
    <n v="72547.240000000005"/>
    <n v="73014.11"/>
    <n v="73304.84"/>
    <n v="73804.47"/>
    <n v="466.86999999999534"/>
    <n v="6.4353929935859078E-3"/>
    <n v="290.72999999999593"/>
    <n v="1.0039818331004788"/>
  </r>
  <r>
    <s v="AP-106"/>
    <x v="5"/>
    <s v="Commercial"/>
    <s v="Aircraft"/>
    <s v="Michael Grant"/>
    <x v="1"/>
    <x v="0"/>
    <n v="466621.06"/>
    <n v="480069.27"/>
    <n v="466982.11"/>
    <n v="483580.93"/>
    <n v="13448.210000000021"/>
    <n v="2.8820409434584932E-2"/>
    <n v="-13087.160000000033"/>
    <n v="0.9727390174338798"/>
  </r>
  <r>
    <s v="AP-106"/>
    <x v="5"/>
    <s v="Commercial"/>
    <s v="Aircraft"/>
    <s v="Michael Grant"/>
    <x v="1"/>
    <x v="1"/>
    <n v="348587.72"/>
    <n v="343674.67"/>
    <n v="343840.71"/>
    <n v="346505.31"/>
    <n v="-4913.0499999999884"/>
    <n v="-1.4094156845226758E-2"/>
    <n v="166.04000000003725"/>
    <n v="1.0004831313288234"/>
  </r>
  <r>
    <s v="AP-106"/>
    <x v="5"/>
    <s v="Commercial"/>
    <s v="Aircraft"/>
    <s v="Michael Grant"/>
    <x v="1"/>
    <x v="2"/>
    <n v="269691.09999999998"/>
    <n v="264039.13"/>
    <n v="274821.26"/>
    <n v="268273.98"/>
    <n v="-5651.9699999999721"/>
    <n v="-2.0957198810045909E-2"/>
    <n v="10782.130000000005"/>
    <n v="1.04083534891211"/>
  </r>
  <r>
    <s v="AP-106"/>
    <x v="5"/>
    <s v="Commercial"/>
    <s v="Aircraft"/>
    <s v="Michael Grant"/>
    <x v="1"/>
    <x v="3"/>
    <n v="201764.74"/>
    <n v="207007.03"/>
    <n v="200329.55"/>
    <n v="203397.61"/>
    <n v="5242.2900000000081"/>
    <n v="2.5982190941786994E-2"/>
    <n v="-6677.4800000000105"/>
    <n v="0.96774273801232735"/>
  </r>
  <r>
    <s v="AP-106"/>
    <x v="5"/>
    <s v="Commercial"/>
    <s v="Aircraft"/>
    <s v="Michael Grant"/>
    <x v="1"/>
    <x v="4"/>
    <n v="48913.58"/>
    <n v="47699.01"/>
    <n v="49780.38"/>
    <n v="48848.38"/>
    <n v="-1214.5699999999997"/>
    <n v="-2.4830936521105174E-2"/>
    <n v="2081.3699999999953"/>
    <n v="1.0436354968373556"/>
  </r>
  <r>
    <s v="AP-106"/>
    <x v="5"/>
    <s v="Commercial"/>
    <s v="Aircraft"/>
    <s v="Michael Grant"/>
    <x v="1"/>
    <x v="5"/>
    <n v="77677.34"/>
    <n v="76137.23"/>
    <n v="75501.94"/>
    <n v="77112.649999999994"/>
    <n v="-1540.1100000000006"/>
    <n v="-1.982701776348161E-2"/>
    <n v="-635.2899999999936"/>
    <n v="0.99165598748470374"/>
  </r>
  <r>
    <s v="AP-106"/>
    <x v="5"/>
    <s v="Commercial"/>
    <s v="Aircraft"/>
    <s v="Michael Grant"/>
    <x v="2"/>
    <x v="0"/>
    <n v="447233.84"/>
    <n v="459017.16"/>
    <n v="436978.15"/>
    <n v="449751.36"/>
    <n v="11783.319999999949"/>
    <n v="2.6347111837512E-2"/>
    <n v="-22039.009999999951"/>
    <n v="0.95198652268250727"/>
  </r>
  <r>
    <s v="AP-106"/>
    <x v="5"/>
    <s v="Commercial"/>
    <s v="Aircraft"/>
    <s v="Michael Grant"/>
    <x v="2"/>
    <x v="1"/>
    <n v="365979.77"/>
    <n v="362991.16"/>
    <n v="361021.29"/>
    <n v="366012.67"/>
    <n v="-2988.6100000000442"/>
    <n v="-8.1660524569433009E-3"/>
    <n v="-1969.8699999999953"/>
    <n v="0.99457322872545983"/>
  </r>
  <r>
    <s v="AP-106"/>
    <x v="5"/>
    <s v="Commercial"/>
    <s v="Aircraft"/>
    <s v="Michael Grant"/>
    <x v="2"/>
    <x v="2"/>
    <n v="272603.44"/>
    <n v="269784.55"/>
    <n v="268815.34000000003"/>
    <n v="272197.46999999997"/>
    <n v="-2818.890000000014"/>
    <n v="-1.0340625195338746E-2"/>
    <n v="-969.20999999996275"/>
    <n v="0.99640746662475677"/>
  </r>
  <r>
    <s v="AP-106"/>
    <x v="5"/>
    <s v="Commercial"/>
    <s v="Aircraft"/>
    <s v="Michael Grant"/>
    <x v="2"/>
    <x v="3"/>
    <n v="206755.08"/>
    <n v="206143.31"/>
    <n v="206748.68"/>
    <n v="204823.22"/>
    <n v="-611.76999999998952"/>
    <n v="-2.958911577892014E-3"/>
    <n v="605.36999999999534"/>
    <n v="1.0029366463553921"/>
  </r>
  <r>
    <s v="AP-106"/>
    <x v="5"/>
    <s v="Commercial"/>
    <s v="Aircraft"/>
    <s v="Michael Grant"/>
    <x v="2"/>
    <x v="4"/>
    <n v="50653.16"/>
    <n v="50506.07"/>
    <n v="51612.56"/>
    <n v="51042.46"/>
    <n v="-147.09000000000378"/>
    <n v="-2.9038662148620892E-3"/>
    <n v="1106.489999999998"/>
    <n v="1.0219080597639056"/>
  </r>
  <r>
    <s v="AP-106"/>
    <x v="5"/>
    <s v="Commercial"/>
    <s v="Aircraft"/>
    <s v="Michael Grant"/>
    <x v="2"/>
    <x v="5"/>
    <n v="77354.63"/>
    <n v="76708.95"/>
    <n v="77895.539999999994"/>
    <n v="76460.09"/>
    <n v="-645.68000000000757"/>
    <n v="-8.3470116785512062E-3"/>
    <n v="1186.5899999999965"/>
    <n v="1.0154687295289533"/>
  </r>
  <r>
    <s v="AP-106"/>
    <x v="5"/>
    <s v="Commercial"/>
    <s v="Aircraft"/>
    <s v="Michael Grant"/>
    <x v="3"/>
    <x v="0"/>
    <n v="477934.15"/>
    <n v="475531.03"/>
    <n v="465571.69"/>
    <n v="475114.57"/>
    <n v="-2403.1199999999953"/>
    <n v="-5.0281403829376811E-3"/>
    <n v="-9959.3400000000256"/>
    <n v="0.97905638250357707"/>
  </r>
  <r>
    <s v="AP-106"/>
    <x v="5"/>
    <s v="Commercial"/>
    <s v="Aircraft"/>
    <s v="Michael Grant"/>
    <x v="3"/>
    <x v="1"/>
    <n v="358464.49"/>
    <n v="348022.65"/>
    <n v="358973.06"/>
    <n v="350191.58"/>
    <n v="-10441.839999999967"/>
    <n v="-2.9129356718150708E-2"/>
    <n v="10950.409999999974"/>
    <n v="1.0314646474877425"/>
  </r>
  <r>
    <s v="AP-106"/>
    <x v="5"/>
    <s v="Commercial"/>
    <s v="Aircraft"/>
    <s v="Michael Grant"/>
    <x v="3"/>
    <x v="2"/>
    <n v="281254.21000000002"/>
    <n v="273177.3"/>
    <n v="287713.8"/>
    <n v="274881.46000000002"/>
    <n v="-8076.9100000000326"/>
    <n v="-2.8717472353569504E-2"/>
    <n v="14536.5"/>
    <n v="1.0532126937340693"/>
  </r>
  <r>
    <s v="AP-106"/>
    <x v="5"/>
    <s v="Commercial"/>
    <s v="Aircraft"/>
    <s v="Michael Grant"/>
    <x v="3"/>
    <x v="3"/>
    <n v="209197.51"/>
    <n v="212306.32"/>
    <n v="210736.14"/>
    <n v="214659.94"/>
    <n v="3108.8099999999977"/>
    <n v="1.486064532986075E-2"/>
    <n v="-1570.179999999993"/>
    <n v="0.99260417683279523"/>
  </r>
  <r>
    <s v="AP-106"/>
    <x v="5"/>
    <s v="Commercial"/>
    <s v="Aircraft"/>
    <s v="Michael Grant"/>
    <x v="3"/>
    <x v="4"/>
    <n v="48472.76"/>
    <n v="48264.11"/>
    <n v="49508.13"/>
    <n v="48206.75"/>
    <n v="-208.65000000000146"/>
    <n v="-4.3044794643424767E-3"/>
    <n v="1244.0199999999968"/>
    <n v="1.0257752603331958"/>
  </r>
  <r>
    <s v="AP-106"/>
    <x v="5"/>
    <s v="Commercial"/>
    <s v="Aircraft"/>
    <s v="Michael Grant"/>
    <x v="3"/>
    <x v="5"/>
    <n v="75725"/>
    <n v="77379.600000000006"/>
    <n v="73957.179999999993"/>
    <n v="78079.59"/>
    <n v="1654.6000000000058"/>
    <n v="2.1850115549686442E-2"/>
    <n v="-3422.4200000000128"/>
    <n v="0.95577103009061803"/>
  </r>
  <r>
    <s v="AP-106"/>
    <x v="5"/>
    <s v="Commercial"/>
    <s v="Aircraft"/>
    <s v="Michael Grant"/>
    <x v="4"/>
    <x v="0"/>
    <n v="465829.01"/>
    <n v="451549.22"/>
    <n v="479788.3"/>
    <n v="451529.7"/>
    <n v="-14279.790000000037"/>
    <n v="-3.0654574303992009E-2"/>
    <n v="28239.080000000016"/>
    <n v="1.0625382101202612"/>
  </r>
  <r>
    <s v="AP-106"/>
    <x v="5"/>
    <s v="Commercial"/>
    <s v="Aircraft"/>
    <s v="Michael Grant"/>
    <x v="4"/>
    <x v="1"/>
    <n v="372103.59"/>
    <n v="374381.7"/>
    <n v="382165.57"/>
    <n v="375534.04"/>
    <n v="2278.109999999986"/>
    <n v="6.1222467646710578E-3"/>
    <n v="7783.8699999999953"/>
    <n v="1.0207912673082045"/>
  </r>
  <r>
    <s v="AP-106"/>
    <x v="5"/>
    <s v="Commercial"/>
    <s v="Aircraft"/>
    <s v="Michael Grant"/>
    <x v="4"/>
    <x v="2"/>
    <n v="278988.98"/>
    <n v="272441.93"/>
    <n v="282718.98"/>
    <n v="279049.42"/>
    <n v="-6547.0499999999884"/>
    <n v="-2.3467055938911956E-2"/>
    <n v="10277.049999999988"/>
    <n v="1.0377219835434288"/>
  </r>
  <r>
    <s v="AP-106"/>
    <x v="5"/>
    <s v="Commercial"/>
    <s v="Aircraft"/>
    <s v="Michael Grant"/>
    <x v="4"/>
    <x v="3"/>
    <n v="214884.79"/>
    <n v="212496.96"/>
    <n v="214435.8"/>
    <n v="215880.21"/>
    <n v="-2387.8300000000163"/>
    <n v="-1.1112140603343848E-2"/>
    <n v="1938.8399999999965"/>
    <n v="1.0091240834692412"/>
  </r>
  <r>
    <s v="AP-106"/>
    <x v="5"/>
    <s v="Commercial"/>
    <s v="Aircraft"/>
    <s v="Michael Grant"/>
    <x v="4"/>
    <x v="4"/>
    <n v="50371.81"/>
    <n v="51236.9"/>
    <n v="49505.36"/>
    <n v="50885.42"/>
    <n v="865.09000000000378"/>
    <n v="1.7174090031706304E-2"/>
    <n v="-1731.5400000000009"/>
    <n v="0.96620521538188298"/>
  </r>
  <r>
    <s v="AP-106"/>
    <x v="5"/>
    <s v="Commercial"/>
    <s v="Aircraft"/>
    <s v="Michael Grant"/>
    <x v="4"/>
    <x v="5"/>
    <n v="77874.509999999995"/>
    <n v="80208.13"/>
    <n v="79765.289999999994"/>
    <n v="79010.289999999994"/>
    <n v="2333.6200000000099"/>
    <n v="2.9966416482107048E-2"/>
    <n v="-442.84000000001106"/>
    <n v="0.99447886392563933"/>
  </r>
  <r>
    <s v="AP-106"/>
    <x v="5"/>
    <s v="Commercial"/>
    <s v="Aircraft"/>
    <s v="Michael Grant"/>
    <x v="5"/>
    <x v="0"/>
    <n v="463922.08"/>
    <n v="478945.82"/>
    <n v="472197.3"/>
    <n v="475719.56"/>
    <n v="15023.739999999991"/>
    <n v="3.2384188310243804E-2"/>
    <n v="-6748.5200000000186"/>
    <n v="0.98590963796280751"/>
  </r>
  <r>
    <s v="AP-106"/>
    <x v="5"/>
    <s v="Commercial"/>
    <s v="Aircraft"/>
    <s v="Michael Grant"/>
    <x v="5"/>
    <x v="1"/>
    <n v="379173.47"/>
    <n v="376343.29"/>
    <n v="373430.94"/>
    <n v="383989.53"/>
    <n v="-2830.179999999993"/>
    <n v="-7.4640770621425415E-3"/>
    <n v="-2912.3499999999767"/>
    <n v="0.99226145363186902"/>
  </r>
  <r>
    <s v="AP-106"/>
    <x v="5"/>
    <s v="Commercial"/>
    <s v="Aircraft"/>
    <s v="Michael Grant"/>
    <x v="5"/>
    <x v="2"/>
    <n v="290719.53999999998"/>
    <n v="293280.76"/>
    <n v="289332.46000000002"/>
    <n v="296543.42"/>
    <n v="2561.2200000000303"/>
    <n v="8.8099341378980942E-3"/>
    <n v="-3948.2999999999884"/>
    <n v="0.98653747351172993"/>
  </r>
  <r>
    <s v="AP-106"/>
    <x v="5"/>
    <s v="Commercial"/>
    <s v="Aircraft"/>
    <s v="Michael Grant"/>
    <x v="5"/>
    <x v="3"/>
    <n v="213719.38"/>
    <n v="211674.16"/>
    <n v="213084.79"/>
    <n v="214077.98"/>
    <n v="-2045.2200000000012"/>
    <n v="-9.5696515683322738E-3"/>
    <n v="1410.6300000000047"/>
    <n v="1.0066641577791073"/>
  </r>
  <r>
    <s v="AP-106"/>
    <x v="5"/>
    <s v="Commercial"/>
    <s v="Aircraft"/>
    <s v="Michael Grant"/>
    <x v="5"/>
    <x v="4"/>
    <n v="51631.03"/>
    <n v="51465.8"/>
    <n v="52843.48"/>
    <n v="51842.18"/>
    <n v="-165.22999999999593"/>
    <n v="-3.2002073171888286E-3"/>
    <n v="1377.6800000000003"/>
    <n v="1.0267688445530818"/>
  </r>
  <r>
    <s v="AP-106"/>
    <x v="5"/>
    <s v="Commercial"/>
    <s v="Aircraft"/>
    <s v="Michael Grant"/>
    <x v="5"/>
    <x v="5"/>
    <n v="77814.31"/>
    <n v="80394.429999999993"/>
    <n v="79534.259999999995"/>
    <n v="80371.25"/>
    <n v="2580.1199999999953"/>
    <n v="3.315739739901305E-2"/>
    <n v="-860.16999999999825"/>
    <n v="0.98930062692154175"/>
  </r>
  <r>
    <s v="AP-106"/>
    <x v="5"/>
    <s v="Commercial"/>
    <s v="Aircraft"/>
    <s v="Michael Grant"/>
    <x v="6"/>
    <x v="0"/>
    <n v="462733.62"/>
    <n v="455030.2"/>
    <n v="476043.11"/>
    <n v="460619.53"/>
    <n v="-7703.4199999999837"/>
    <n v="-1.6647634118307598E-2"/>
    <n v="21012.909999999974"/>
    <n v="1.0461791547022592"/>
  </r>
  <r>
    <s v="AP-106"/>
    <x v="5"/>
    <s v="Commercial"/>
    <s v="Aircraft"/>
    <s v="Michael Grant"/>
    <x v="6"/>
    <x v="1"/>
    <n v="364668.39"/>
    <n v="361543.59"/>
    <n v="356921.46"/>
    <n v="363049.53"/>
    <n v="-3124.7999999999884"/>
    <n v="-8.5688808947767259E-3"/>
    <n v="-4622.1300000000047"/>
    <n v="0.9872155664549328"/>
  </r>
  <r>
    <s v="AP-106"/>
    <x v="5"/>
    <s v="Commercial"/>
    <s v="Aircraft"/>
    <s v="Michael Grant"/>
    <x v="6"/>
    <x v="2"/>
    <n v="302291.09999999998"/>
    <n v="304632.36"/>
    <n v="300043.69"/>
    <n v="306025.12"/>
    <n v="2341.2600000000093"/>
    <n v="7.745051045168083E-3"/>
    <n v="-4588.6699999999837"/>
    <n v="0.9849370237620193"/>
  </r>
  <r>
    <s v="AP-106"/>
    <x v="5"/>
    <s v="Commercial"/>
    <s v="Aircraft"/>
    <s v="Michael Grant"/>
    <x v="6"/>
    <x v="3"/>
    <n v="210058.53"/>
    <n v="212949.07"/>
    <n v="205977.83"/>
    <n v="210790.18"/>
    <n v="2890.5400000000081"/>
    <n v="1.3760640903275901E-2"/>
    <n v="-6971.2400000000198"/>
    <n v="0.96726334611369746"/>
  </r>
  <r>
    <s v="AP-106"/>
    <x v="5"/>
    <s v="Commercial"/>
    <s v="Aircraft"/>
    <s v="Michael Grant"/>
    <x v="6"/>
    <x v="4"/>
    <n v="48968.95"/>
    <n v="49869.5"/>
    <n v="49568.52"/>
    <n v="50370.58"/>
    <n v="900.55000000000291"/>
    <n v="1.8390224826139889E-2"/>
    <n v="-300.9800000000032"/>
    <n v="0.99396464773057669"/>
  </r>
  <r>
    <s v="AP-106"/>
    <x v="5"/>
    <s v="Commercial"/>
    <s v="Aircraft"/>
    <s v="Michael Grant"/>
    <x v="6"/>
    <x v="5"/>
    <n v="78743.899999999994"/>
    <n v="78897.789999999994"/>
    <n v="77943.37"/>
    <n v="80033.740000000005"/>
    <n v="153.88999999999942"/>
    <n v="1.9543101116403865E-3"/>
    <n v="-954.41999999999825"/>
    <n v="0.98790308321690634"/>
  </r>
  <r>
    <s v="AP-106"/>
    <x v="5"/>
    <s v="Commercial"/>
    <s v="Aircraft"/>
    <s v="Michael Grant"/>
    <x v="7"/>
    <x v="0"/>
    <n v="473440.09"/>
    <n v="476353.16"/>
    <n v="477927.57"/>
    <n v="471622.62"/>
    <n v="2913.0699999999488"/>
    <n v="6.1529854812251931E-3"/>
    <n v="1574.4100000000326"/>
    <n v="1.003305131847976"/>
  </r>
  <r>
    <s v="AP-106"/>
    <x v="5"/>
    <s v="Commercial"/>
    <s v="Aircraft"/>
    <s v="Michael Grant"/>
    <x v="7"/>
    <x v="1"/>
    <n v="390468.3"/>
    <n v="389994.63"/>
    <n v="395057.31"/>
    <n v="389112.9"/>
    <n v="-473.6699999999837"/>
    <n v="-1.2130818302023077E-3"/>
    <n v="5062.679999999993"/>
    <n v="1.0129814095132541"/>
  </r>
  <r>
    <s v="AP-106"/>
    <x v="5"/>
    <s v="Commercial"/>
    <s v="Aircraft"/>
    <s v="Michael Grant"/>
    <x v="7"/>
    <x v="2"/>
    <n v="302403.57"/>
    <n v="308864.21000000002"/>
    <n v="298809.92"/>
    <n v="306762.78999999998"/>
    <n v="6460.640000000014"/>
    <n v="2.1364298047142811E-2"/>
    <n v="-10054.290000000037"/>
    <n v="0.96744753948668882"/>
  </r>
  <r>
    <s v="AP-106"/>
    <x v="5"/>
    <s v="Commercial"/>
    <s v="Aircraft"/>
    <s v="Michael Grant"/>
    <x v="7"/>
    <x v="3"/>
    <n v="223124.73"/>
    <n v="228838.15"/>
    <n v="223157.75"/>
    <n v="225968.94"/>
    <n v="5713.4199999999837"/>
    <n v="2.5606395131548096E-2"/>
    <n v="-5680.3999999999942"/>
    <n v="0.97517721586195316"/>
  </r>
  <r>
    <s v="AP-106"/>
    <x v="5"/>
    <s v="Commercial"/>
    <s v="Aircraft"/>
    <s v="Michael Grant"/>
    <x v="7"/>
    <x v="4"/>
    <n v="53147.92"/>
    <n v="52152.36"/>
    <n v="51857.25"/>
    <n v="53184.3"/>
    <n v="-995.55999999999767"/>
    <n v="-1.8731871350750842E-2"/>
    <n v="-295.11000000000058"/>
    <n v="0.99434138742714617"/>
  </r>
  <r>
    <s v="AP-106"/>
    <x v="5"/>
    <s v="Commercial"/>
    <s v="Aircraft"/>
    <s v="Michael Grant"/>
    <x v="7"/>
    <x v="5"/>
    <n v="79387.070000000007"/>
    <n v="77540.36"/>
    <n v="81305.86"/>
    <n v="78635"/>
    <n v="-1846.7100000000064"/>
    <n v="-2.3262100490671921E-2"/>
    <n v="3765.5"/>
    <n v="1.0485618070382958"/>
  </r>
  <r>
    <s v="AP-106"/>
    <x v="5"/>
    <s v="Commercial"/>
    <s v="Aircraft"/>
    <s v="Michael Grant"/>
    <x v="8"/>
    <x v="0"/>
    <n v="467584.08"/>
    <n v="451848.25"/>
    <n v="462137.7"/>
    <n v="453424.07"/>
    <n v="-15735.830000000016"/>
    <n v="-3.3653476824959512E-2"/>
    <n v="10289.450000000012"/>
    <n v="1.0227719151285857"/>
  </r>
  <r>
    <s v="AP-106"/>
    <x v="5"/>
    <s v="Commercial"/>
    <s v="Aircraft"/>
    <s v="Michael Grant"/>
    <x v="8"/>
    <x v="1"/>
    <n v="380889.99"/>
    <n v="383024.11"/>
    <n v="370970.8"/>
    <n v="388295.2"/>
    <n v="2134.1199999999953"/>
    <n v="5.602982635484843E-3"/>
    <n v="-12053.309999999998"/>
    <n v="0.96853119768361318"/>
  </r>
  <r>
    <s v="AP-106"/>
    <x v="5"/>
    <s v="Commercial"/>
    <s v="Aircraft"/>
    <s v="Michael Grant"/>
    <x v="8"/>
    <x v="2"/>
    <n v="287814.94"/>
    <n v="295436.84000000003"/>
    <n v="280949.57"/>
    <n v="290720.14"/>
    <n v="7621.9000000000233"/>
    <n v="2.6481947045556505E-2"/>
    <n v="-14487.270000000019"/>
    <n v="0.95096322449156978"/>
  </r>
  <r>
    <s v="AP-106"/>
    <x v="5"/>
    <s v="Commercial"/>
    <s v="Aircraft"/>
    <s v="Michael Grant"/>
    <x v="8"/>
    <x v="3"/>
    <n v="212206.81"/>
    <n v="209237.31"/>
    <n v="215279.46"/>
    <n v="213277.06"/>
    <n v="-2969.5"/>
    <n v="-1.399342462195252E-2"/>
    <n v="6042.1499999999942"/>
    <n v="1.0288770200687438"/>
  </r>
  <r>
    <s v="AP-106"/>
    <x v="5"/>
    <s v="Commercial"/>
    <s v="Aircraft"/>
    <s v="Michael Grant"/>
    <x v="8"/>
    <x v="4"/>
    <n v="53691.75"/>
    <n v="52705.440000000002"/>
    <n v="55075.15"/>
    <n v="53919.82"/>
    <n v="-986.30999999999767"/>
    <n v="-1.8369861291539159E-2"/>
    <n v="2369.7099999999991"/>
    <n v="1.0449613929795483"/>
  </r>
  <r>
    <s v="AP-106"/>
    <x v="5"/>
    <s v="Commercial"/>
    <s v="Aircraft"/>
    <s v="Michael Grant"/>
    <x v="8"/>
    <x v="5"/>
    <n v="82437.8"/>
    <n v="81965.570000000007"/>
    <n v="81700.3"/>
    <n v="81520.03"/>
    <n v="-472.22999999999593"/>
    <n v="-5.7283188052082408E-3"/>
    <n v="-265.27000000000407"/>
    <n v="0.99676364112394988"/>
  </r>
  <r>
    <s v="AP-106"/>
    <x v="5"/>
    <s v="Commercial"/>
    <s v="Aircraft"/>
    <s v="Michael Grant"/>
    <x v="9"/>
    <x v="0"/>
    <n v="491620.04"/>
    <n v="506816.54"/>
    <n v="502882.27"/>
    <n v="501037.69"/>
    <n v="15196.5"/>
    <n v="3.0911067010205687E-2"/>
    <n v="-3934.2699999999604"/>
    <n v="0.99223728965120206"/>
  </r>
  <r>
    <s v="AP-106"/>
    <x v="5"/>
    <s v="Commercial"/>
    <s v="Aircraft"/>
    <s v="Michael Grant"/>
    <x v="9"/>
    <x v="1"/>
    <n v="371346.37"/>
    <n v="370169.87"/>
    <n v="368307.24"/>
    <n v="374242.33"/>
    <n v="-1176.5"/>
    <n v="-3.1682011594727586E-3"/>
    <n v="-1862.6300000000047"/>
    <n v="0.99496817501651336"/>
  </r>
  <r>
    <s v="AP-106"/>
    <x v="5"/>
    <s v="Commercial"/>
    <s v="Aircraft"/>
    <s v="Michael Grant"/>
    <x v="9"/>
    <x v="2"/>
    <n v="292279.76"/>
    <n v="292885.93"/>
    <n v="284924.89"/>
    <n v="291154.11"/>
    <n v="606.1699999999837"/>
    <n v="2.0739376548002627E-3"/>
    <n v="-7961.039999999979"/>
    <n v="0.97281863283770587"/>
  </r>
  <r>
    <s v="AP-106"/>
    <x v="5"/>
    <s v="Commercial"/>
    <s v="Aircraft"/>
    <s v="Michael Grant"/>
    <x v="9"/>
    <x v="3"/>
    <n v="216066.12"/>
    <n v="215345.95"/>
    <n v="211892.63"/>
    <n v="215928.19"/>
    <n v="-720.1699999999837"/>
    <n v="-3.3331000714039928E-3"/>
    <n v="-3453.320000000007"/>
    <n v="0.98396384979610707"/>
  </r>
  <r>
    <s v="AP-106"/>
    <x v="5"/>
    <s v="Commercial"/>
    <s v="Aircraft"/>
    <s v="Michael Grant"/>
    <x v="9"/>
    <x v="4"/>
    <n v="52979.38"/>
    <n v="52615.26"/>
    <n v="53573.71"/>
    <n v="53172.04"/>
    <n v="-364.11999999999534"/>
    <n v="-6.8728626118311573E-3"/>
    <n v="958.44999999999709"/>
    <n v="1.0182161981143873"/>
  </r>
  <r>
    <s v="AP-106"/>
    <x v="5"/>
    <s v="Commercial"/>
    <s v="Aircraft"/>
    <s v="Michael Grant"/>
    <x v="9"/>
    <x v="5"/>
    <n v="81970.77"/>
    <n v="83656.22"/>
    <n v="80381.440000000002"/>
    <n v="83982.26"/>
    <n v="1685.4499999999971"/>
    <n v="2.0561597750027198E-2"/>
    <n v="-3274.7799999999988"/>
    <n v="0.96085431543524202"/>
  </r>
  <r>
    <s v="AP-106"/>
    <x v="5"/>
    <s v="Commercial"/>
    <s v="Aircraft"/>
    <s v="Michael Grant"/>
    <x v="10"/>
    <x v="0"/>
    <n v="503720.01"/>
    <n v="510629.05"/>
    <n v="492073.55"/>
    <n v="515111.67"/>
    <n v="6909.039999999979"/>
    <n v="1.3716032444293763E-2"/>
    <n v="-18555.5"/>
    <n v="0.96366148772773508"/>
  </r>
  <r>
    <s v="AP-106"/>
    <x v="5"/>
    <s v="Commercial"/>
    <s v="Aircraft"/>
    <s v="Michael Grant"/>
    <x v="10"/>
    <x v="1"/>
    <n v="373963.87"/>
    <n v="367678.38"/>
    <n v="378189.5"/>
    <n v="367536.24"/>
    <n v="-6285.4899999999907"/>
    <n v="-1.6807746694887906E-2"/>
    <n v="10511.119999999995"/>
    <n v="1.0285878109014732"/>
  </r>
  <r>
    <s v="AP-106"/>
    <x v="5"/>
    <s v="Commercial"/>
    <s v="Aircraft"/>
    <s v="Michael Grant"/>
    <x v="10"/>
    <x v="2"/>
    <n v="311813.31"/>
    <n v="308139.5"/>
    <n v="316565.43"/>
    <n v="306868.03999999998"/>
    <n v="-3673.8099999999977"/>
    <n v="-1.1782082041334277E-2"/>
    <n v="8425.929999999993"/>
    <n v="1.0273445306427771"/>
  </r>
  <r>
    <s v="AP-106"/>
    <x v="5"/>
    <s v="Commercial"/>
    <s v="Aircraft"/>
    <s v="Michael Grant"/>
    <x v="10"/>
    <x v="3"/>
    <n v="217613.95"/>
    <n v="214114.91"/>
    <n v="218129.3"/>
    <n v="215214.03"/>
    <n v="-3499.0400000000081"/>
    <n v="-1.6079116251508728E-2"/>
    <n v="4014.3899999999849"/>
    <n v="1.0187487643901119"/>
  </r>
  <r>
    <s v="AP-106"/>
    <x v="5"/>
    <s v="Commercial"/>
    <s v="Aircraft"/>
    <s v="Michael Grant"/>
    <x v="10"/>
    <x v="4"/>
    <n v="53293.97"/>
    <n v="53009.65"/>
    <n v="53230.33"/>
    <n v="53524.43"/>
    <n v="-284.31999999999971"/>
    <n v="-5.334937517321372E-3"/>
    <n v="220.68000000000029"/>
    <n v="1.0041630156018764"/>
  </r>
  <r>
    <s v="AP-106"/>
    <x v="5"/>
    <s v="Commercial"/>
    <s v="Aircraft"/>
    <s v="Michael Grant"/>
    <x v="10"/>
    <x v="5"/>
    <n v="83953.75"/>
    <n v="82169.89"/>
    <n v="85542.58"/>
    <n v="82466.8"/>
    <n v="-1783.8600000000006"/>
    <n v="-2.1248127689352775E-2"/>
    <n v="3372.6900000000023"/>
    <n v="1.0410453269439695"/>
  </r>
  <r>
    <s v="AP-106"/>
    <x v="5"/>
    <s v="Commercial"/>
    <s v="Aircraft"/>
    <s v="Michael Grant"/>
    <x v="11"/>
    <x v="0"/>
    <n v="490128.04"/>
    <n v="477339.86"/>
    <n v="481831.51"/>
    <n v="484251.96"/>
    <n v="-12788.179999999993"/>
    <n v="-2.6091508659655534E-2"/>
    <n v="4491.6500000000233"/>
    <n v="1.0094097526236339"/>
  </r>
  <r>
    <s v="AP-106"/>
    <x v="5"/>
    <s v="Commercial"/>
    <s v="Aircraft"/>
    <s v="Michael Grant"/>
    <x v="11"/>
    <x v="1"/>
    <n v="403116.89"/>
    <n v="389706.54"/>
    <n v="414857.64"/>
    <n v="398399.61"/>
    <n v="-13410.350000000035"/>
    <n v="-3.3266653748990856E-2"/>
    <n v="25151.100000000035"/>
    <n v="1.0645385627862443"/>
  </r>
  <r>
    <s v="AP-106"/>
    <x v="5"/>
    <s v="Commercial"/>
    <s v="Aircraft"/>
    <s v="Michael Grant"/>
    <x v="11"/>
    <x v="2"/>
    <n v="299252.96000000002"/>
    <n v="299438.46999999997"/>
    <n v="306726.61"/>
    <n v="300234.99"/>
    <n v="185.50999999995111"/>
    <n v="6.1991032603303606E-4"/>
    <n v="7288.140000000014"/>
    <n v="1.0243393575982405"/>
  </r>
  <r>
    <s v="AP-106"/>
    <x v="5"/>
    <s v="Commercial"/>
    <s v="Aircraft"/>
    <s v="Michael Grant"/>
    <x v="11"/>
    <x v="3"/>
    <n v="219877.55"/>
    <n v="216764.39"/>
    <n v="224242.26"/>
    <n v="220406.11"/>
    <n v="-3113.1599999999744"/>
    <n v="-1.4158607825128006E-2"/>
    <n v="7477.8699999999953"/>
    <n v="1.0344976866357061"/>
  </r>
  <r>
    <s v="AP-106"/>
    <x v="5"/>
    <s v="Commercial"/>
    <s v="Aircraft"/>
    <s v="Michael Grant"/>
    <x v="11"/>
    <x v="4"/>
    <n v="53659.06"/>
    <n v="53213.01"/>
    <n v="52881.88"/>
    <n v="53524.29"/>
    <n v="-446.04999999999563"/>
    <n v="-8.3126689136931511E-3"/>
    <n v="-331.13000000000466"/>
    <n v="0.99377727364041224"/>
  </r>
  <r>
    <s v="AP-106"/>
    <x v="5"/>
    <s v="Commercial"/>
    <s v="Aircraft"/>
    <s v="Michael Grant"/>
    <x v="11"/>
    <x v="5"/>
    <n v="84481.38"/>
    <n v="85302.080000000002"/>
    <n v="82880.97"/>
    <n v="85138.5"/>
    <n v="820.69999999999709"/>
    <n v="9.7145666891331212E-3"/>
    <n v="-2421.1100000000006"/>
    <n v="0.97161722199505574"/>
  </r>
  <r>
    <s v="AP-106"/>
    <x v="5"/>
    <s v="Commercial"/>
    <s v="Aircraft"/>
    <s v="Michael Grant"/>
    <x v="12"/>
    <x v="0"/>
    <n v="481720.05"/>
    <n v="465628.95"/>
    <n v="475187.66"/>
    <n v="477221.47"/>
    <n v="-16091.099999999977"/>
    <n v="-3.340342591096214E-2"/>
    <n v="9558.7099999999627"/>
    <n v="1.0205285990057105"/>
  </r>
  <r>
    <s v="AP-106"/>
    <x v="5"/>
    <s v="Commercial"/>
    <s v="Aircraft"/>
    <s v="Michael Grant"/>
    <x v="12"/>
    <x v="1"/>
    <n v="382568.9"/>
    <n v="371100.51"/>
    <n v="392593.61"/>
    <n v="381062.89"/>
    <n v="-11468.390000000014"/>
    <n v="-2.9977319118203317E-2"/>
    <n v="21493.099999999977"/>
    <n v="1.0579171933770719"/>
  </r>
  <r>
    <s v="AP-106"/>
    <x v="5"/>
    <s v="Commercial"/>
    <s v="Aircraft"/>
    <s v="Michael Grant"/>
    <x v="12"/>
    <x v="2"/>
    <n v="297002.11"/>
    <n v="290083.56"/>
    <n v="293810.09999999998"/>
    <n v="292335.59000000003"/>
    <n v="-6918.5499999999884"/>
    <n v="-2.329461565104702E-2"/>
    <n v="3726.539999999979"/>
    <n v="1.012846436385433"/>
  </r>
  <r>
    <s v="AP-106"/>
    <x v="5"/>
    <s v="Commercial"/>
    <s v="Aircraft"/>
    <s v="Michael Grant"/>
    <x v="12"/>
    <x v="3"/>
    <n v="205992.63"/>
    <n v="212745.42"/>
    <n v="202480.18"/>
    <n v="212331.36"/>
    <n v="6752.7900000000081"/>
    <n v="3.2781706801840477E-2"/>
    <n v="-10265.24000000002"/>
    <n v="0.9517487144964154"/>
  </r>
  <r>
    <s v="AP-106"/>
    <x v="5"/>
    <s v="Commercial"/>
    <s v="Aircraft"/>
    <s v="Michael Grant"/>
    <x v="12"/>
    <x v="4"/>
    <n v="48698.05"/>
    <n v="48700.21"/>
    <n v="48410.01"/>
    <n v="49278.74"/>
    <n v="2.1599999999962165"/>
    <n v="4.4354958771372085E-5"/>
    <n v="-290.19999999999709"/>
    <n v="0.9940410934572973"/>
  </r>
  <r>
    <s v="AP-106"/>
    <x v="5"/>
    <s v="Commercial"/>
    <s v="Aircraft"/>
    <s v="Michael Grant"/>
    <x v="12"/>
    <x v="5"/>
    <n v="75885.64"/>
    <n v="78333.89"/>
    <n v="75438.14"/>
    <n v="78640.05"/>
    <n v="2448.25"/>
    <n v="3.2262362154420784E-2"/>
    <n v="-2895.75"/>
    <n v="0.96303324142334823"/>
  </r>
  <r>
    <s v="AP-106"/>
    <x v="5"/>
    <s v="Commercial"/>
    <s v="Aircraft"/>
    <s v="Michael Grant"/>
    <x v="13"/>
    <x v="0"/>
    <n v="467431.17"/>
    <n v="478853.82"/>
    <n v="459010.76"/>
    <n v="483043.65"/>
    <n v="11422.650000000023"/>
    <n v="2.4437073804898426E-2"/>
    <n v="-19843.059999999998"/>
    <n v="0.95856134132959403"/>
  </r>
  <r>
    <s v="AP-106"/>
    <x v="5"/>
    <s v="Commercial"/>
    <s v="Aircraft"/>
    <s v="Michael Grant"/>
    <x v="13"/>
    <x v="1"/>
    <n v="372844.08"/>
    <n v="377515.92"/>
    <n v="366554.68"/>
    <n v="378203"/>
    <n v="4671.8399999999674"/>
    <n v="1.2530278072270766E-2"/>
    <n v="-10961.239999999991"/>
    <n v="0.97096482712570109"/>
  </r>
  <r>
    <s v="AP-106"/>
    <x v="5"/>
    <s v="Commercial"/>
    <s v="Aircraft"/>
    <s v="Michael Grant"/>
    <x v="13"/>
    <x v="2"/>
    <n v="290589.86"/>
    <n v="300297.48"/>
    <n v="293063.24"/>
    <n v="298957.56"/>
    <n v="9707.6199999999953"/>
    <n v="3.3406602694257798E-2"/>
    <n v="-7234.2399999999907"/>
    <n v="0.97590975455405093"/>
  </r>
  <r>
    <s v="AP-106"/>
    <x v="5"/>
    <s v="Commercial"/>
    <s v="Aircraft"/>
    <s v="Michael Grant"/>
    <x v="13"/>
    <x v="3"/>
    <n v="217683.5"/>
    <n v="216344.7"/>
    <n v="217959.55"/>
    <n v="214817.34"/>
    <n v="-1338.7999999999884"/>
    <n v="-6.1502134980372346E-3"/>
    <n v="1614.8499999999767"/>
    <n v="1.0074642457152867"/>
  </r>
  <r>
    <s v="AP-106"/>
    <x v="5"/>
    <s v="Commercial"/>
    <s v="Aircraft"/>
    <s v="Michael Grant"/>
    <x v="13"/>
    <x v="4"/>
    <n v="49960.49"/>
    <n v="51099.42"/>
    <n v="51352.91"/>
    <n v="50741.51"/>
    <n v="1138.9300000000003"/>
    <n v="2.2796613884291373E-2"/>
    <n v="253.49000000000524"/>
    <n v="1.0049607216676824"/>
  </r>
  <r>
    <s v="AP-106"/>
    <x v="5"/>
    <s v="Commercial"/>
    <s v="Aircraft"/>
    <s v="Michael Grant"/>
    <x v="13"/>
    <x v="5"/>
    <n v="77854.91"/>
    <n v="80329.3"/>
    <n v="77114.05"/>
    <n v="80500.69"/>
    <n v="2474.3899999999994"/>
    <n v="3.1782067438007433E-2"/>
    <n v="-3215.25"/>
    <n v="0.95997413148129018"/>
  </r>
  <r>
    <s v="AP-106"/>
    <x v="5"/>
    <s v="Commercial"/>
    <s v="Aircraft"/>
    <s v="Michael Grant"/>
    <x v="14"/>
    <x v="0"/>
    <n v="466126"/>
    <n v="459136.44"/>
    <n v="467939.42"/>
    <n v="462095.26"/>
    <n v="-6989.5599999999977"/>
    <n v="-1.4995001351565881E-2"/>
    <n v="8802.9799999999814"/>
    <n v="1.0191729064240687"/>
  </r>
  <r>
    <s v="AP-106"/>
    <x v="5"/>
    <s v="Commercial"/>
    <s v="Aircraft"/>
    <s v="Michael Grant"/>
    <x v="14"/>
    <x v="1"/>
    <n v="384122.5"/>
    <n v="389168.14"/>
    <n v="380413.7"/>
    <n v="389963.93"/>
    <n v="5045.640000000014"/>
    <n v="1.3135497139584413E-2"/>
    <n v="-8754.4400000000023"/>
    <n v="0.97750473612767996"/>
  </r>
  <r>
    <s v="AP-106"/>
    <x v="5"/>
    <s v="Commercial"/>
    <s v="Aircraft"/>
    <s v="Michael Grant"/>
    <x v="14"/>
    <x v="2"/>
    <n v="286317.09999999998"/>
    <n v="307368.82"/>
    <n v="293863.52"/>
    <n v="296745.99"/>
    <n v="21051.72000000003"/>
    <n v="7.3525891398033977E-2"/>
    <n v="-13505.299999999988"/>
    <n v="0.95606158100226302"/>
  </r>
  <r>
    <s v="AP-106"/>
    <x v="5"/>
    <s v="Commercial"/>
    <s v="Aircraft"/>
    <s v="Michael Grant"/>
    <x v="14"/>
    <x v="3"/>
    <n v="210896.75"/>
    <n v="217224.15"/>
    <n v="207423.04"/>
    <n v="212800.12"/>
    <n v="6327.3999999999942"/>
    <n v="3.0002358974237364E-2"/>
    <n v="-9801.109999999986"/>
    <n v="0.95488020093530124"/>
  </r>
  <r>
    <s v="AP-106"/>
    <x v="5"/>
    <s v="Commercial"/>
    <s v="Aircraft"/>
    <s v="Michael Grant"/>
    <x v="14"/>
    <x v="4"/>
    <n v="51547.99"/>
    <n v="53175.51"/>
    <n v="52848.13"/>
    <n v="53273.65"/>
    <n v="1627.5200000000041"/>
    <n v="3.1572909050382063E-2"/>
    <n v="-327.38000000000466"/>
    <n v="0.99384340648542902"/>
  </r>
  <r>
    <s v="AP-106"/>
    <x v="5"/>
    <s v="Commercial"/>
    <s v="Aircraft"/>
    <s v="Michael Grant"/>
    <x v="14"/>
    <x v="5"/>
    <n v="77268.83"/>
    <n v="78607.55"/>
    <n v="78539.58"/>
    <n v="77679.600000000006"/>
    <n v="1338.7200000000012"/>
    <n v="1.7325485580666888E-2"/>
    <n v="-67.970000000001164"/>
    <n v="0.99913532478750444"/>
  </r>
  <r>
    <s v="AP-106"/>
    <x v="5"/>
    <s v="Commercial"/>
    <s v="Aircraft"/>
    <s v="Michael Grant"/>
    <x v="15"/>
    <x v="0"/>
    <n v="492019.6"/>
    <n v="482072.75"/>
    <n v="483566.12"/>
    <n v="480247.12"/>
    <n v="-9946.8499999999767"/>
    <n v="-2.0216369429185296E-2"/>
    <n v="1493.3699999999953"/>
    <n v="1.0030978104445853"/>
  </r>
  <r>
    <s v="AP-106"/>
    <x v="5"/>
    <s v="Commercial"/>
    <s v="Aircraft"/>
    <s v="Michael Grant"/>
    <x v="15"/>
    <x v="1"/>
    <n v="383635.04"/>
    <n v="387358.78"/>
    <n v="381805.74"/>
    <n v="390411.59"/>
    <n v="3723.7400000000489"/>
    <n v="9.7064647692245449E-3"/>
    <n v="-5553.0400000000373"/>
    <n v="0.9856643497276607"/>
  </r>
  <r>
    <s v="AP-106"/>
    <x v="5"/>
    <s v="Commercial"/>
    <s v="Aircraft"/>
    <s v="Michael Grant"/>
    <x v="15"/>
    <x v="2"/>
    <n v="298413.49"/>
    <n v="324629.63"/>
    <n v="305941.81"/>
    <n v="320678.99"/>
    <n v="26216.140000000014"/>
    <n v="8.7851725469917652E-2"/>
    <n v="-18687.820000000007"/>
    <n v="0.94243341250150203"/>
  </r>
  <r>
    <s v="AP-106"/>
    <x v="5"/>
    <s v="Commercial"/>
    <s v="Aircraft"/>
    <s v="Michael Grant"/>
    <x v="15"/>
    <x v="3"/>
    <n v="214883.01"/>
    <n v="212605.68"/>
    <n v="220047.89"/>
    <n v="215000.43"/>
    <n v="-2277.3300000000163"/>
    <n v="-1.0597999348575842E-2"/>
    <n v="7442.210000000021"/>
    <n v="1.0350047562228819"/>
  </r>
  <r>
    <s v="AP-106"/>
    <x v="5"/>
    <s v="Commercial"/>
    <s v="Aircraft"/>
    <s v="Michael Grant"/>
    <x v="15"/>
    <x v="4"/>
    <n v="50359.46"/>
    <n v="52106.68"/>
    <n v="49361.59"/>
    <n v="51152.33"/>
    <n v="1747.2200000000012"/>
    <n v="3.4694970915097205E-2"/>
    <n v="-2745.0900000000038"/>
    <n v="0.94731788707321207"/>
  </r>
  <r>
    <s v="AP-106"/>
    <x v="5"/>
    <s v="Commercial"/>
    <s v="Aircraft"/>
    <s v="Michael Grant"/>
    <x v="15"/>
    <x v="5"/>
    <n v="82453.509999999995"/>
    <n v="81066.09"/>
    <n v="83235.86"/>
    <n v="81125.39"/>
    <n v="-1387.4199999999983"/>
    <n v="-1.6826694218354057E-2"/>
    <n v="2169.7700000000041"/>
    <n v="1.0267654453298538"/>
  </r>
  <r>
    <s v="AP-106"/>
    <x v="5"/>
    <s v="Commercial"/>
    <s v="Aircraft"/>
    <s v="Michael Grant"/>
    <x v="16"/>
    <x v="0"/>
    <n v="504885.07"/>
    <n v="507814.5"/>
    <n v="503023.73"/>
    <n v="507793.14"/>
    <n v="2929.429999999993"/>
    <n v="5.8021719675727251E-3"/>
    <n v="-4790.7700000000186"/>
    <n v="0.99056590546351075"/>
  </r>
  <r>
    <s v="AP-106"/>
    <x v="5"/>
    <s v="Commercial"/>
    <s v="Aircraft"/>
    <s v="Michael Grant"/>
    <x v="16"/>
    <x v="1"/>
    <n v="396064.01"/>
    <n v="385352.67"/>
    <n v="389801.03"/>
    <n v="394867.81"/>
    <n v="-10711.340000000026"/>
    <n v="-2.7044466877967594E-2"/>
    <n v="4448.3600000000442"/>
    <n v="1.0115436075738105"/>
  </r>
  <r>
    <s v="AP-106"/>
    <x v="5"/>
    <s v="Commercial"/>
    <s v="Aircraft"/>
    <s v="Michael Grant"/>
    <x v="16"/>
    <x v="2"/>
    <n v="293347.18"/>
    <n v="304513.31"/>
    <n v="286394.36"/>
    <n v="297509.11"/>
    <n v="11166.130000000005"/>
    <n v="3.8064555452689219E-2"/>
    <n v="-18118.950000000012"/>
    <n v="0.94049865997647197"/>
  </r>
  <r>
    <s v="AP-106"/>
    <x v="5"/>
    <s v="Commercial"/>
    <s v="Aircraft"/>
    <s v="Michael Grant"/>
    <x v="16"/>
    <x v="3"/>
    <n v="212584.12"/>
    <n v="211228.6"/>
    <n v="215673.60000000001"/>
    <n v="214759.55"/>
    <n v="-1355.5199999999895"/>
    <n v="-6.3763934954313125E-3"/>
    <n v="4445"/>
    <n v="1.0210435518675027"/>
  </r>
  <r>
    <s v="AP-106"/>
    <x v="5"/>
    <s v="Commercial"/>
    <s v="Aircraft"/>
    <s v="Michael Grant"/>
    <x v="16"/>
    <x v="4"/>
    <n v="53870.33"/>
    <n v="53521.54"/>
    <n v="52278.38"/>
    <n v="54373.77"/>
    <n v="-348.79000000000087"/>
    <n v="-6.4746215588432606E-3"/>
    <n v="-1243.1600000000035"/>
    <n v="0.97677271618118611"/>
  </r>
  <r>
    <s v="AP-106"/>
    <x v="5"/>
    <s v="Commercial"/>
    <s v="Aircraft"/>
    <s v="Michael Grant"/>
    <x v="16"/>
    <x v="5"/>
    <n v="80290.34"/>
    <n v="81629.66"/>
    <n v="78561.179999999993"/>
    <n v="80870.509999999995"/>
    <n v="1339.320000000007"/>
    <n v="1.6680960623656683E-2"/>
    <n v="-3068.4800000000105"/>
    <n v="0.96240974175318128"/>
  </r>
  <r>
    <s v="AP-106"/>
    <x v="5"/>
    <s v="Commercial"/>
    <s v="Aircraft"/>
    <s v="Michael Grant"/>
    <x v="17"/>
    <x v="0"/>
    <n v="505548.84"/>
    <n v="507311.09"/>
    <n v="513149.71"/>
    <n v="503115.38"/>
    <n v="1762.25"/>
    <n v="3.4858155346573438E-3"/>
    <n v="5838.6199999999953"/>
    <n v="1.0115089540029569"/>
  </r>
  <r>
    <s v="AP-106"/>
    <x v="5"/>
    <s v="Commercial"/>
    <s v="Aircraft"/>
    <s v="Michael Grant"/>
    <x v="17"/>
    <x v="1"/>
    <n v="396932.6"/>
    <n v="409122.9"/>
    <n v="406736.15"/>
    <n v="409158.11"/>
    <n v="12190.300000000047"/>
    <n v="3.07112592918799E-2"/>
    <n v="-2386.75"/>
    <n v="0.99416617842706922"/>
  </r>
  <r>
    <s v="AP-106"/>
    <x v="5"/>
    <s v="Commercial"/>
    <s v="Aircraft"/>
    <s v="Michael Grant"/>
    <x v="17"/>
    <x v="2"/>
    <n v="314099.20000000001"/>
    <n v="340637.84"/>
    <n v="312857.55"/>
    <n v="330973.15000000002"/>
    <n v="26538.640000000014"/>
    <n v="8.4491269000366798E-2"/>
    <n v="-27780.290000000037"/>
    <n v="0.91844625952301706"/>
  </r>
  <r>
    <s v="AP-106"/>
    <x v="5"/>
    <s v="Commercial"/>
    <s v="Aircraft"/>
    <s v="Michael Grant"/>
    <x v="17"/>
    <x v="3"/>
    <n v="222846.07"/>
    <n v="224040.06"/>
    <n v="223751.7"/>
    <n v="226129.81"/>
    <n v="1193.9899999999907"/>
    <n v="5.3579136486454106E-3"/>
    <n v="-288.35999999998603"/>
    <n v="0.99871290875390772"/>
  </r>
  <r>
    <s v="AP-106"/>
    <x v="5"/>
    <s v="Commercial"/>
    <s v="Aircraft"/>
    <s v="Michael Grant"/>
    <x v="17"/>
    <x v="4"/>
    <n v="52857.39"/>
    <n v="54110.68"/>
    <n v="52442.19"/>
    <n v="53468.22"/>
    <n v="1253.2900000000009"/>
    <n v="2.3710781027969804E-2"/>
    <n v="-1668.489999999998"/>
    <n v="0.96916523688114808"/>
  </r>
  <r>
    <s v="AP-106"/>
    <x v="5"/>
    <s v="Commercial"/>
    <s v="Aircraft"/>
    <s v="Michael Grant"/>
    <x v="17"/>
    <x v="5"/>
    <n v="85058.9"/>
    <n v="82142.28"/>
    <n v="84840.87"/>
    <n v="83703.539999999994"/>
    <n v="-2916.6199999999953"/>
    <n v="-3.4289415922378441E-2"/>
    <n v="2698.5899999999965"/>
    <n v="1.0328526308254409"/>
  </r>
  <r>
    <s v="AP-106"/>
    <x v="5"/>
    <s v="Commercial"/>
    <s v="Aircraft"/>
    <s v="Michael Grant"/>
    <x v="18"/>
    <x v="0"/>
    <n v="500334.66"/>
    <n v="513608.07"/>
    <n v="496832.47"/>
    <n v="509224.7"/>
    <n v="13273.410000000033"/>
    <n v="2.6529063567173286E-2"/>
    <n v="-16775.600000000035"/>
    <n v="0.96733774062389632"/>
  </r>
  <r>
    <s v="AP-106"/>
    <x v="5"/>
    <s v="Commercial"/>
    <s v="Aircraft"/>
    <s v="Michael Grant"/>
    <x v="18"/>
    <x v="1"/>
    <n v="404392.89"/>
    <n v="400858.68"/>
    <n v="408811.75"/>
    <n v="403057.31"/>
    <n v="-3534.210000000021"/>
    <n v="-8.7395453466059224E-3"/>
    <n v="7953.070000000007"/>
    <n v="1.0198400842910524"/>
  </r>
  <r>
    <s v="AP-106"/>
    <x v="5"/>
    <s v="Commercial"/>
    <s v="Aircraft"/>
    <s v="Michael Grant"/>
    <x v="18"/>
    <x v="2"/>
    <n v="310176.83"/>
    <n v="334120.68"/>
    <n v="304171.55"/>
    <n v="329597.18"/>
    <n v="23943.849999999977"/>
    <n v="7.7194192744828735E-2"/>
    <n v="-29949.130000000005"/>
    <n v="0.91036433303080788"/>
  </r>
  <r>
    <s v="AP-106"/>
    <x v="5"/>
    <s v="Commercial"/>
    <s v="Aircraft"/>
    <s v="Michael Grant"/>
    <x v="18"/>
    <x v="3"/>
    <n v="219355.62"/>
    <n v="224350.47"/>
    <n v="214664.69"/>
    <n v="225214.91"/>
    <n v="4994.8500000000058"/>
    <n v="2.2770558602510416E-2"/>
    <n v="-9685.7799999999988"/>
    <n v="0.95682745839578587"/>
  </r>
  <r>
    <s v="AP-106"/>
    <x v="5"/>
    <s v="Commercial"/>
    <s v="Aircraft"/>
    <s v="Michael Grant"/>
    <x v="18"/>
    <x v="4"/>
    <n v="53587.69"/>
    <n v="53030.91"/>
    <n v="53767.46"/>
    <n v="53336.89"/>
    <n v="-556.77999999999884"/>
    <n v="-1.0390072794703388E-2"/>
    <n v="736.54999999999563"/>
    <n v="1.013889069601106"/>
  </r>
  <r>
    <s v="AP-106"/>
    <x v="5"/>
    <s v="Commercial"/>
    <s v="Aircraft"/>
    <s v="Michael Grant"/>
    <x v="18"/>
    <x v="5"/>
    <n v="85937.07"/>
    <n v="83462.16"/>
    <n v="86510.52"/>
    <n v="83647.88"/>
    <n v="-2474.9100000000035"/>
    <n v="-2.8799096827480893E-2"/>
    <n v="3048.3600000000006"/>
    <n v="1.0365238570389264"/>
  </r>
  <r>
    <s v="AP-106"/>
    <x v="5"/>
    <s v="Commercial"/>
    <s v="Aircraft"/>
    <s v="Michael Grant"/>
    <x v="19"/>
    <x v="0"/>
    <n v="483135.78"/>
    <n v="488835.59"/>
    <n v="480630.81"/>
    <n v="484483.72"/>
    <n v="5699.8099999999977"/>
    <n v="1.1797532362434422E-2"/>
    <n v="-8204.7800000000279"/>
    <n v="0.98321566561878193"/>
  </r>
  <r>
    <s v="AP-106"/>
    <x v="5"/>
    <s v="Commercial"/>
    <s v="Aircraft"/>
    <s v="Michael Grant"/>
    <x v="19"/>
    <x v="1"/>
    <n v="385886.81"/>
    <n v="372548.6"/>
    <n v="393357.53"/>
    <n v="383704.93"/>
    <n v="-13338.210000000021"/>
    <n v="-3.4565083994449103E-2"/>
    <n v="20808.930000000051"/>
    <n v="1.0558556118584261"/>
  </r>
  <r>
    <s v="AP-106"/>
    <x v="5"/>
    <s v="Commercial"/>
    <s v="Aircraft"/>
    <s v="Michael Grant"/>
    <x v="19"/>
    <x v="2"/>
    <n v="304824.31"/>
    <n v="329927.09000000003"/>
    <n v="297164.14"/>
    <n v="325653.88"/>
    <n v="25102.780000000028"/>
    <n v="8.2351633962527551E-2"/>
    <n v="-32762.950000000012"/>
    <n v="0.90069639325464301"/>
  </r>
  <r>
    <s v="AP-106"/>
    <x v="5"/>
    <s v="Commercial"/>
    <s v="Aircraft"/>
    <s v="Michael Grant"/>
    <x v="19"/>
    <x v="3"/>
    <n v="232929.04"/>
    <n v="229581.23"/>
    <n v="226363.47"/>
    <n v="233527.83"/>
    <n v="-3347.8099999999977"/>
    <n v="-1.4372660446288696E-2"/>
    <n v="-3217.7600000000093"/>
    <n v="0.98598422005143882"/>
  </r>
  <r>
    <s v="AP-106"/>
    <x v="5"/>
    <s v="Commercial"/>
    <s v="Aircraft"/>
    <s v="Michael Grant"/>
    <x v="19"/>
    <x v="4"/>
    <n v="52018.07"/>
    <n v="53833.5"/>
    <n v="51619.15"/>
    <n v="52666.080000000002"/>
    <n v="1815.4300000000003"/>
    <n v="3.4899987638910869E-2"/>
    <n v="-2214.3499999999985"/>
    <n v="0.95886669081519871"/>
  </r>
  <r>
    <s v="AP-106"/>
    <x v="5"/>
    <s v="Commercial"/>
    <s v="Aircraft"/>
    <s v="Michael Grant"/>
    <x v="19"/>
    <x v="5"/>
    <n v="86392.11"/>
    <n v="86052.96"/>
    <n v="87342.03"/>
    <n v="85191.73"/>
    <n v="-339.14999999999418"/>
    <n v="-3.9257057154871459E-3"/>
    <n v="1289.0699999999924"/>
    <n v="1.0149799611773958"/>
  </r>
  <r>
    <s v="AP-106"/>
    <x v="5"/>
    <s v="Commercial"/>
    <s v="Aircraft"/>
    <s v="Michael Grant"/>
    <x v="20"/>
    <x v="0"/>
    <n v="520036.75"/>
    <n v="503553.7"/>
    <n v="522494.13"/>
    <n v="506533.61"/>
    <n v="-16483.049999999988"/>
    <n v="-3.1695933027810035E-2"/>
    <n v="18940.429999999993"/>
    <n v="1.0376135256279519"/>
  </r>
  <r>
    <s v="AP-106"/>
    <x v="5"/>
    <s v="Commercial"/>
    <s v="Aircraft"/>
    <s v="Michael Grant"/>
    <x v="20"/>
    <x v="1"/>
    <n v="400501.58"/>
    <n v="414315.19"/>
    <n v="394157.86"/>
    <n v="405351.13"/>
    <n v="13813.609999999986"/>
    <n v="3.4490775292322154E-2"/>
    <n v="-20157.330000000016"/>
    <n v="0.9513478373795563"/>
  </r>
  <r>
    <s v="AP-106"/>
    <x v="5"/>
    <s v="Commercial"/>
    <s v="Aircraft"/>
    <s v="Michael Grant"/>
    <x v="20"/>
    <x v="2"/>
    <n v="318745.67"/>
    <n v="352314.96"/>
    <n v="314199.7"/>
    <n v="338988.97"/>
    <n v="33569.290000000037"/>
    <n v="0.10531685026497783"/>
    <n v="-38115.260000000009"/>
    <n v="0.89181481251888928"/>
  </r>
  <r>
    <s v="AP-106"/>
    <x v="5"/>
    <s v="Commercial"/>
    <s v="Aircraft"/>
    <s v="Michael Grant"/>
    <x v="20"/>
    <x v="3"/>
    <n v="224905.25"/>
    <n v="220246.62"/>
    <n v="229004.59"/>
    <n v="224072.87"/>
    <n v="-4658.6300000000047"/>
    <n v="-2.0713745010398844E-2"/>
    <n v="8757.9700000000012"/>
    <n v="1.0397643786769577"/>
  </r>
  <r>
    <s v="AP-106"/>
    <x v="5"/>
    <s v="Commercial"/>
    <s v="Aircraft"/>
    <s v="Michael Grant"/>
    <x v="20"/>
    <x v="4"/>
    <n v="56067.62"/>
    <n v="55624.07"/>
    <n v="55309.04"/>
    <n v="56464.93"/>
    <n v="-443.55000000000291"/>
    <n v="-7.9109832020692675E-3"/>
    <n v="-315.02999999999884"/>
    <n v="0.9943364446362879"/>
  </r>
  <r>
    <s v="AP-106"/>
    <x v="5"/>
    <s v="Commercial"/>
    <s v="Aircraft"/>
    <s v="Michael Grant"/>
    <x v="20"/>
    <x v="5"/>
    <n v="86053.66"/>
    <n v="86972.33"/>
    <n v="83620.37"/>
    <n v="86861.06"/>
    <n v="918.66999999999825"/>
    <n v="1.0675548256750477E-2"/>
    <n v="-3351.9600000000064"/>
    <n v="0.96145946647629188"/>
  </r>
  <r>
    <s v="AP-106"/>
    <x v="5"/>
    <s v="Commercial"/>
    <s v="Aircraft"/>
    <s v="Michael Grant"/>
    <x v="21"/>
    <x v="0"/>
    <n v="492262.22"/>
    <n v="495550.3"/>
    <n v="505433.99"/>
    <n v="492011.28"/>
    <n v="3288.0800000000163"/>
    <n v="6.6795294589132121E-3"/>
    <n v="9883.6900000000023"/>
    <n v="1.0199448774423101"/>
  </r>
  <r>
    <s v="AP-106"/>
    <x v="5"/>
    <s v="Commercial"/>
    <s v="Aircraft"/>
    <s v="Michael Grant"/>
    <x v="21"/>
    <x v="1"/>
    <n v="398723.21"/>
    <n v="406764.16"/>
    <n v="388025.64"/>
    <n v="402004.3"/>
    <n v="8040.9499999999534"/>
    <n v="2.0166746751461882E-2"/>
    <n v="-18738.51999999996"/>
    <n v="0.95393271619603859"/>
  </r>
  <r>
    <s v="AP-106"/>
    <x v="5"/>
    <s v="Commercial"/>
    <s v="Aircraft"/>
    <s v="Michael Grant"/>
    <x v="21"/>
    <x v="2"/>
    <n v="317122.64"/>
    <n v="342097.36"/>
    <n v="309011.56"/>
    <n v="338179.06"/>
    <n v="24974.719999999972"/>
    <n v="7.8754137516009487E-2"/>
    <n v="-33085.799999999988"/>
    <n v="0.90328542728304018"/>
  </r>
  <r>
    <s v="AP-106"/>
    <x v="5"/>
    <s v="Commercial"/>
    <s v="Aircraft"/>
    <s v="Michael Grant"/>
    <x v="21"/>
    <x v="3"/>
    <n v="226177.72"/>
    <n v="220862.19"/>
    <n v="232441.48"/>
    <n v="222081.69"/>
    <n v="-5315.5299999999988"/>
    <n v="-2.3501563283952101E-2"/>
    <n v="11579.290000000008"/>
    <n v="1.0524276699420576"/>
  </r>
  <r>
    <s v="AP-106"/>
    <x v="5"/>
    <s v="Commercial"/>
    <s v="Aircraft"/>
    <s v="Michael Grant"/>
    <x v="21"/>
    <x v="4"/>
    <n v="56477.17"/>
    <n v="57711.17"/>
    <n v="55540.43"/>
    <n v="58137.04"/>
    <n v="1234"/>
    <n v="2.1849536724308248E-2"/>
    <n v="-2170.739999999998"/>
    <n v="0.96238613772689063"/>
  </r>
  <r>
    <s v="AP-106"/>
    <x v="5"/>
    <s v="Commercial"/>
    <s v="Aircraft"/>
    <s v="Michael Grant"/>
    <x v="21"/>
    <x v="5"/>
    <n v="86996.68"/>
    <n v="86356.43"/>
    <n v="85438.35"/>
    <n v="87333.55"/>
    <n v="-640.25"/>
    <n v="-7.3594762466797593E-3"/>
    <n v="-918.07999999998719"/>
    <n v="0.98936871290302308"/>
  </r>
  <r>
    <s v="AP-106"/>
    <x v="5"/>
    <s v="Commercial"/>
    <s v="Aircraft"/>
    <s v="Michael Grant"/>
    <x v="22"/>
    <x v="0"/>
    <n v="525527.71"/>
    <n v="507918.32"/>
    <n v="532100.39"/>
    <n v="518398.93"/>
    <n v="-17609.389999999956"/>
    <n v="-3.3508014258658132E-2"/>
    <n v="24182.070000000007"/>
    <n v="1.0476101551131292"/>
  </r>
  <r>
    <s v="AP-106"/>
    <x v="5"/>
    <s v="Commercial"/>
    <s v="Aircraft"/>
    <s v="Michael Grant"/>
    <x v="22"/>
    <x v="1"/>
    <n v="417065.41"/>
    <n v="405595.86"/>
    <n v="418781.38"/>
    <n v="410235.71"/>
    <n v="-11469.549999999988"/>
    <n v="-2.7500602363547698E-2"/>
    <n v="13185.520000000019"/>
    <n v="1.0325090103237247"/>
  </r>
  <r>
    <s v="AP-106"/>
    <x v="5"/>
    <s v="Commercial"/>
    <s v="Aircraft"/>
    <s v="Michael Grant"/>
    <x v="22"/>
    <x v="2"/>
    <n v="330665.68"/>
    <n v="364807.99"/>
    <n v="323348.67"/>
    <n v="349446.07"/>
    <n v="34142.31"/>
    <n v="0.10325326172344224"/>
    <n v="-41459.320000000007"/>
    <n v="0.88635303738824356"/>
  </r>
  <r>
    <s v="AP-106"/>
    <x v="5"/>
    <s v="Commercial"/>
    <s v="Aircraft"/>
    <s v="Michael Grant"/>
    <x v="22"/>
    <x v="3"/>
    <n v="242029.46"/>
    <n v="239549.46"/>
    <n v="243098.14"/>
    <n v="241663.35"/>
    <n v="-2480"/>
    <n v="-1.0246686498412219E-2"/>
    <n v="3548.6800000000221"/>
    <n v="1.0148139762034947"/>
  </r>
  <r>
    <s v="AP-106"/>
    <x v="5"/>
    <s v="Commercial"/>
    <s v="Aircraft"/>
    <s v="Michael Grant"/>
    <x v="22"/>
    <x v="4"/>
    <n v="55979.94"/>
    <n v="56377.03"/>
    <n v="56972.69"/>
    <n v="56211.93"/>
    <n v="397.08999999999651"/>
    <n v="7.0934338264742065E-3"/>
    <n v="595.66000000000349"/>
    <n v="1.0105656505849989"/>
  </r>
  <r>
    <s v="AP-106"/>
    <x v="5"/>
    <s v="Commercial"/>
    <s v="Aircraft"/>
    <s v="Michael Grant"/>
    <x v="22"/>
    <x v="5"/>
    <n v="86217.51"/>
    <n v="84650.53"/>
    <n v="85735.19"/>
    <n v="84938.68"/>
    <n v="-1566.9799999999959"/>
    <n v="-1.817473039989204E-2"/>
    <n v="1084.6600000000035"/>
    <n v="1.0128133869923792"/>
  </r>
  <r>
    <s v="AP-106"/>
    <x v="5"/>
    <s v="Commercial"/>
    <s v="Aircraft"/>
    <s v="Michael Grant"/>
    <x v="23"/>
    <x v="0"/>
    <n v="520422.1"/>
    <n v="529125.84"/>
    <n v="515279.64"/>
    <n v="533201.91"/>
    <n v="8703.7399999999907"/>
    <n v="1.6724385839878803E-2"/>
    <n v="-13846.199999999953"/>
    <n v="0.9738319338174829"/>
  </r>
  <r>
    <s v="AP-106"/>
    <x v="5"/>
    <s v="Commercial"/>
    <s v="Aircraft"/>
    <s v="Michael Grant"/>
    <x v="23"/>
    <x v="1"/>
    <n v="394819.89"/>
    <n v="400912.69"/>
    <n v="401660.38"/>
    <n v="402737.95"/>
    <n v="6092.7999999999884"/>
    <n v="1.5431846657978624E-2"/>
    <n v="747.69000000000233"/>
    <n v="1.0018649696521205"/>
  </r>
  <r>
    <s v="AP-106"/>
    <x v="5"/>
    <s v="Commercial"/>
    <s v="Aircraft"/>
    <s v="Michael Grant"/>
    <x v="23"/>
    <x v="2"/>
    <n v="314394.08"/>
    <n v="338063.75"/>
    <n v="305634.28999999998"/>
    <n v="331001.59999999998"/>
    <n v="23669.669999999984"/>
    <n v="7.5286627534462428E-2"/>
    <n v="-32429.460000000021"/>
    <n v="0.90407294482179756"/>
  </r>
  <r>
    <s v="AP-106"/>
    <x v="5"/>
    <s v="Commercial"/>
    <s v="Aircraft"/>
    <s v="Michael Grant"/>
    <x v="23"/>
    <x v="3"/>
    <n v="232125.51"/>
    <n v="225265.15"/>
    <n v="226470.68"/>
    <n v="225608.8"/>
    <n v="-6860.3600000000151"/>
    <n v="-2.9554528496243324E-2"/>
    <n v="1205.5299999999988"/>
    <n v="1.0053516045424691"/>
  </r>
  <r>
    <s v="AP-106"/>
    <x v="5"/>
    <s v="Commercial"/>
    <s v="Aircraft"/>
    <s v="Michael Grant"/>
    <x v="23"/>
    <x v="4"/>
    <n v="54446.080000000002"/>
    <n v="54715.06"/>
    <n v="54988.81"/>
    <n v="54826.239999999998"/>
    <n v="268.97999999999593"/>
    <n v="4.940300568929773E-3"/>
    <n v="273.75"/>
    <n v="1.0050031929052075"/>
  </r>
  <r>
    <s v="AP-106"/>
    <x v="5"/>
    <s v="Commercial"/>
    <s v="Aircraft"/>
    <s v="Michael Grant"/>
    <x v="23"/>
    <x v="5"/>
    <n v="89912.55"/>
    <n v="88582.65"/>
    <n v="88618.04"/>
    <n v="88309.73"/>
    <n v="-1329.9000000000087"/>
    <n v="-1.4791038625864896E-2"/>
    <n v="35.389999999999418"/>
    <n v="1.00039951390029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7F25CF-2E8B-4CB1-874A-568CEF0A415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M9" firstHeaderRow="1" firstDataRow="2" firstDataCol="1"/>
  <pivotFields count="15">
    <pivotField showAll="0"/>
    <pivotField axis="axisRow" showAll="0">
      <items count="7">
        <item x="3"/>
        <item x="0"/>
        <item x="5"/>
        <item x="2"/>
        <item x="1"/>
        <item x="4"/>
        <item t="default"/>
      </items>
    </pivotField>
    <pivotField showAll="0"/>
    <pivotField showAll="0"/>
    <pivotField showAll="0"/>
    <pivotField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showAll="0">
      <items count="7">
        <item x="0"/>
        <item x="1"/>
        <item x="5"/>
        <item x="3"/>
        <item x="2"/>
        <item x="4"/>
        <item t="default"/>
      </items>
    </pivotField>
    <pivotField numFmtId="164" showAll="0"/>
    <pivotField numFmtId="164" showAll="0"/>
    <pivotField numFmtId="164" showAll="0"/>
    <pivotField numFmtId="164" showAll="0"/>
    <pivotField dataField="1" numFmtId="164" showAll="0"/>
    <pivotField numFmtId="165" showAll="0"/>
    <pivotField numFmtId="164" showAll="0"/>
    <pivotField numFmtId="2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budget_variance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ED39C-6DE5-4002-B0C4-49878CBDE27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8" firstHeaderRow="0" firstDataRow="1" firstDataCol="1"/>
  <pivotFields count="15">
    <pivotField showAll="0"/>
    <pivotField axis="axisRow" showAll="0">
      <items count="7">
        <item x="3"/>
        <item x="0"/>
        <item x="5"/>
        <item x="2"/>
        <item x="1"/>
        <item x="4"/>
        <item t="default"/>
      </items>
    </pivotField>
    <pivotField showAll="0"/>
    <pivotField showAll="0"/>
    <pivotField showAll="0"/>
    <pivotField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dataField="1" numFmtId="164" showAll="0"/>
    <pivotField dataField="1" numFmtId="164" showAll="0"/>
    <pivotField numFmtId="164" showAll="0"/>
    <pivotField numFmtId="164" showAll="0"/>
    <pivotField dataField="1" numFmtId="164" showAll="0"/>
    <pivotField numFmtId="165" showAll="0"/>
    <pivotField numFmtId="164" showAll="0"/>
    <pivotField numFmtId="2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udget_cost" fld="7" baseField="0" baseItem="0" numFmtId="164"/>
    <dataField name="Sum of actual_cost" fld="8" baseField="0" baseItem="0" numFmtId="164"/>
    <dataField name="Sum of budget_variance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8B99D-674A-4930-B2DD-96A87C4203D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38" firstHeaderRow="1" firstDataRow="1" firstDataCol="1" rowPageCount="2" colPageCount="1"/>
  <pivotFields count="15">
    <pivotField showAll="0"/>
    <pivotField axis="axisPage" multipleItemSelectionAllowed="1" showAll="0">
      <items count="7">
        <item h="1" x="3"/>
        <item h="1" x="0"/>
        <item h="1" x="5"/>
        <item h="1" x="2"/>
        <item x="1"/>
        <item h="1" x="4"/>
        <item t="default"/>
      </items>
    </pivotField>
    <pivotField showAll="0"/>
    <pivotField showAll="0"/>
    <pivotField showAll="0"/>
    <pivotField axis="axisRow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Page" multipleItemSelectionAllowed="1" showAll="0">
      <items count="7">
        <item x="0"/>
        <item h="1" x="1"/>
        <item h="1" x="5"/>
        <item h="1" x="3"/>
        <item h="1" x="2"/>
        <item h="1" x="4"/>
        <item t="default"/>
      </items>
    </pivotField>
    <pivotField numFmtId="164" showAll="0"/>
    <pivotField numFmtId="164" showAll="0"/>
    <pivotField numFmtId="164" showAll="0"/>
    <pivotField numFmtId="164" showAll="0"/>
    <pivotField dataField="1" numFmtId="164" showAll="0"/>
    <pivotField numFmtId="165" showAll="0"/>
    <pivotField numFmtId="164" showAll="0"/>
    <pivotField numFmtId="2"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2">
    <pageField fld="1" hier="-1"/>
    <pageField fld="6" hier="-1"/>
  </pageFields>
  <dataFields count="1">
    <dataField name="Sum of budget_variance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D129B0-E3F8-7D4F-9371-54255A1C70D0}" name="tbl_program_financials" displayName="tbl_program_financials" ref="A1:O865" totalsRowShown="0">
  <autoFilter ref="A1:O865" xr:uid="{F7D129B0-E3F8-7D4F-9371-54255A1C70D0}"/>
  <tableColumns count="15">
    <tableColumn id="1" xr3:uid="{15492511-2CC8-AB46-AF33-0E760DF46095}" name="program_id"/>
    <tableColumn id="2" xr3:uid="{A90BACC4-89BB-2A4E-AA97-01DC747F5DCF}" name="program_name"/>
    <tableColumn id="3" xr3:uid="{4F59D527-97D6-D340-819F-BE3E63C0A2D9}" name="customer_type"/>
    <tableColumn id="4" xr3:uid="{D4145EA9-76E0-5443-8A8F-A7174EA5B0B7}" name="program_type"/>
    <tableColumn id="5" xr3:uid="{9E0501A6-E9BE-EB46-82FE-1EF2DF97B087}" name="program_manager"/>
    <tableColumn id="6" xr3:uid="{EB6CACE2-F49B-C845-89D9-EC527D531B84}" name="reporting_month" dataDxfId="8"/>
    <tableColumn id="7" xr3:uid="{47D353FC-EEA3-954A-BF44-D7BA7A962533}" name="cost_category"/>
    <tableColumn id="8" xr3:uid="{D8813F55-8C7A-8844-AD83-5B014001AEDD}" name="budget_cost" dataDxfId="7" dataCellStyle="Currency"/>
    <tableColumn id="9" xr3:uid="{1945701A-C5ED-7147-9F71-7912F95FA442}" name="actual_cost" dataDxfId="6" dataCellStyle="Currency"/>
    <tableColumn id="10" xr3:uid="{5E38E793-57A2-FB48-8A15-20D1C1640039}" name="earned_value" dataDxfId="5" dataCellStyle="Currency"/>
    <tableColumn id="11" xr3:uid="{21D1A8ED-C967-0C43-8DAF-D614C6DAC469}" name="forecast_cost" dataDxfId="4" dataCellStyle="Currency"/>
    <tableColumn id="12" xr3:uid="{9C39EDB7-B27A-4261-9CE9-23899DC40360}" name="budget_variance" dataDxfId="3" dataCellStyle="Currency">
      <calculatedColumnFormula>I2-H2</calculatedColumnFormula>
    </tableColumn>
    <tableColumn id="14" xr3:uid="{E9BEA799-0D57-4A6D-8F04-95D019B205DD}" name="budget_variance_pct" dataDxfId="2" dataCellStyle="Currency">
      <calculatedColumnFormula>L2/H2</calculatedColumnFormula>
    </tableColumn>
    <tableColumn id="15" xr3:uid="{FDF91ADF-02EB-4D38-8595-C5593E07C191}" name="cost_variance" dataDxfId="1" dataCellStyle="Currency">
      <calculatedColumnFormula>J2-I2</calculatedColumnFormula>
    </tableColumn>
    <tableColumn id="16" xr3:uid="{B07F181F-5624-488F-A39E-71B78537D2EE}" name="cpi" dataDxfId="0" dataCellStyle="Currency">
      <calculatedColumnFormula>J2/I2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07306-3F37-E849-A0AF-AAA87343EFE1}">
  <dimension ref="A1:O865"/>
  <sheetViews>
    <sheetView topLeftCell="A2" workbookViewId="0">
      <selection activeCell="A2" sqref="A2"/>
    </sheetView>
  </sheetViews>
  <sheetFormatPr baseColWidth="10" defaultColWidth="11" defaultRowHeight="16" x14ac:dyDescent="0.2"/>
  <cols>
    <col min="1" max="1" width="13" customWidth="1"/>
    <col min="2" max="2" width="16.1640625" customWidth="1"/>
    <col min="3" max="3" width="15.83203125" customWidth="1"/>
    <col min="4" max="4" width="15.1640625" customWidth="1"/>
    <col min="5" max="5" width="18.83203125" customWidth="1"/>
    <col min="6" max="6" width="17.33203125" customWidth="1"/>
    <col min="7" max="7" width="16" bestFit="1" customWidth="1"/>
    <col min="8" max="8" width="13.5" style="2" customWidth="1"/>
    <col min="9" max="9" width="12.83203125" style="2" customWidth="1"/>
    <col min="10" max="10" width="14.6640625" style="2" customWidth="1"/>
    <col min="11" max="11" width="14.5" style="2" customWidth="1"/>
    <col min="12" max="12" width="17.33203125" bestFit="1" customWidth="1"/>
    <col min="13" max="13" width="21.1640625" style="3" bestFit="1" customWidth="1"/>
    <col min="14" max="14" width="14.6640625" bestFit="1" customWidth="1"/>
    <col min="15" max="15" width="11" style="5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43</v>
      </c>
      <c r="M1" s="3" t="s">
        <v>44</v>
      </c>
      <c r="N1" t="s">
        <v>45</v>
      </c>
      <c r="O1" s="5" t="s">
        <v>46</v>
      </c>
    </row>
    <row r="2" spans="1:15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45292</v>
      </c>
      <c r="G2" t="s">
        <v>16</v>
      </c>
      <c r="H2" s="2">
        <v>505854.82</v>
      </c>
      <c r="I2" s="2">
        <v>510165.41</v>
      </c>
      <c r="J2" s="2">
        <v>510925.25</v>
      </c>
      <c r="K2" s="2">
        <v>511260.44</v>
      </c>
      <c r="L2" s="2">
        <f t="shared" ref="L2:L65" si="0">I2-H2</f>
        <v>4310.5899999999674</v>
      </c>
      <c r="M2" s="4">
        <f t="shared" ref="M2:M65" si="1">L2/H2</f>
        <v>8.521397502943567E-3</v>
      </c>
      <c r="N2" s="2">
        <f t="shared" ref="N2:N65" si="2">J2-I2</f>
        <v>759.84000000002561</v>
      </c>
      <c r="O2" s="6">
        <f>J2/I2</f>
        <v>1.0014893992911045</v>
      </c>
    </row>
    <row r="3" spans="1:15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45292</v>
      </c>
      <c r="G3" t="s">
        <v>17</v>
      </c>
      <c r="H3" s="2">
        <v>410890.08</v>
      </c>
      <c r="I3" s="2">
        <v>417855.42</v>
      </c>
      <c r="J3" s="2">
        <v>416961.97</v>
      </c>
      <c r="K3" s="2">
        <v>418271.21</v>
      </c>
      <c r="L3" s="2">
        <f t="shared" si="0"/>
        <v>6965.3399999999674</v>
      </c>
      <c r="M3" s="4">
        <f t="shared" si="1"/>
        <v>1.6951832957368955E-2</v>
      </c>
      <c r="N3" s="2">
        <f t="shared" si="2"/>
        <v>-893.45000000001164</v>
      </c>
      <c r="O3" s="6">
        <f t="shared" ref="O3:O65" si="3">J3/I3</f>
        <v>0.99786182024394943</v>
      </c>
    </row>
    <row r="4" spans="1:15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s="1">
        <v>45292</v>
      </c>
      <c r="G4" t="s">
        <v>18</v>
      </c>
      <c r="H4" s="2">
        <v>323406.43</v>
      </c>
      <c r="I4" s="2">
        <v>324093.65000000002</v>
      </c>
      <c r="J4" s="2">
        <v>317411.56</v>
      </c>
      <c r="K4" s="2">
        <v>326296.40999999997</v>
      </c>
      <c r="L4" s="2">
        <f t="shared" si="0"/>
        <v>687.22000000003027</v>
      </c>
      <c r="M4" s="4">
        <f t="shared" si="1"/>
        <v>2.1249422901085495E-3</v>
      </c>
      <c r="N4" s="2">
        <f t="shared" si="2"/>
        <v>-6682.0900000000256</v>
      </c>
      <c r="O4" s="6">
        <f t="shared" si="3"/>
        <v>0.9793822248600057</v>
      </c>
    </row>
    <row r="5" spans="1:15" x14ac:dyDescent="0.2">
      <c r="A5" t="s">
        <v>11</v>
      </c>
      <c r="B5" t="s">
        <v>12</v>
      </c>
      <c r="C5" t="s">
        <v>13</v>
      </c>
      <c r="D5" t="s">
        <v>14</v>
      </c>
      <c r="E5" t="s">
        <v>15</v>
      </c>
      <c r="F5" s="1">
        <v>45292</v>
      </c>
      <c r="G5" t="s">
        <v>19</v>
      </c>
      <c r="H5" s="2">
        <v>222380.87</v>
      </c>
      <c r="I5" s="2">
        <v>225837.17</v>
      </c>
      <c r="J5" s="2">
        <v>217884.41</v>
      </c>
      <c r="K5" s="2">
        <v>223467.47</v>
      </c>
      <c r="L5" s="2">
        <f t="shared" si="0"/>
        <v>3456.3000000000175</v>
      </c>
      <c r="M5" s="4">
        <f t="shared" si="1"/>
        <v>1.5542254151627419E-2</v>
      </c>
      <c r="N5" s="2">
        <f t="shared" si="2"/>
        <v>-7952.7600000000093</v>
      </c>
      <c r="O5" s="6">
        <f t="shared" si="3"/>
        <v>0.96478542482621432</v>
      </c>
    </row>
    <row r="6" spans="1:15" x14ac:dyDescent="0.2">
      <c r="A6" t="s">
        <v>11</v>
      </c>
      <c r="B6" t="s">
        <v>12</v>
      </c>
      <c r="C6" t="s">
        <v>13</v>
      </c>
      <c r="D6" t="s">
        <v>14</v>
      </c>
      <c r="E6" t="s">
        <v>15</v>
      </c>
      <c r="F6" s="1">
        <v>45292</v>
      </c>
      <c r="G6" t="s">
        <v>20</v>
      </c>
      <c r="H6" s="2">
        <v>55834.05</v>
      </c>
      <c r="I6" s="2">
        <v>54252.57</v>
      </c>
      <c r="J6" s="2">
        <v>55320.74</v>
      </c>
      <c r="K6" s="2">
        <v>55545.71</v>
      </c>
      <c r="L6" s="2">
        <f t="shared" si="0"/>
        <v>-1581.4800000000032</v>
      </c>
      <c r="M6" s="4">
        <f t="shared" si="1"/>
        <v>-2.8324651355221466E-2</v>
      </c>
      <c r="N6" s="2">
        <f t="shared" si="2"/>
        <v>1068.1699999999983</v>
      </c>
      <c r="O6" s="6">
        <f t="shared" si="3"/>
        <v>1.0196888368606316</v>
      </c>
    </row>
    <row r="7" spans="1:15" x14ac:dyDescent="0.2">
      <c r="A7" t="s">
        <v>11</v>
      </c>
      <c r="B7" t="s">
        <v>12</v>
      </c>
      <c r="C7" t="s">
        <v>13</v>
      </c>
      <c r="D7" t="s">
        <v>14</v>
      </c>
      <c r="E7" t="s">
        <v>15</v>
      </c>
      <c r="F7" s="1">
        <v>45292</v>
      </c>
      <c r="G7" t="s">
        <v>21</v>
      </c>
      <c r="H7" s="2">
        <v>84721.4</v>
      </c>
      <c r="I7" s="2">
        <v>84394.25</v>
      </c>
      <c r="J7" s="2">
        <v>84535.55</v>
      </c>
      <c r="K7" s="2">
        <v>85484.36</v>
      </c>
      <c r="L7" s="2">
        <f t="shared" si="0"/>
        <v>-327.14999999999418</v>
      </c>
      <c r="M7" s="4">
        <f t="shared" si="1"/>
        <v>-3.8614800982985907E-3</v>
      </c>
      <c r="N7" s="2">
        <f t="shared" si="2"/>
        <v>141.30000000000291</v>
      </c>
      <c r="O7" s="6">
        <f t="shared" si="3"/>
        <v>1.001674284681717</v>
      </c>
    </row>
    <row r="8" spans="1:15" x14ac:dyDescent="0.2">
      <c r="A8" t="s">
        <v>11</v>
      </c>
      <c r="B8" t="s">
        <v>12</v>
      </c>
      <c r="C8" t="s">
        <v>13</v>
      </c>
      <c r="D8" t="s">
        <v>14</v>
      </c>
      <c r="E8" t="s">
        <v>15</v>
      </c>
      <c r="F8" s="1">
        <v>45323</v>
      </c>
      <c r="G8" t="s">
        <v>16</v>
      </c>
      <c r="H8" s="2">
        <v>497458.24</v>
      </c>
      <c r="I8" s="2">
        <v>497706.1</v>
      </c>
      <c r="J8" s="2">
        <v>492186.46</v>
      </c>
      <c r="K8" s="2">
        <v>499788.82</v>
      </c>
      <c r="L8" s="2">
        <f t="shared" si="0"/>
        <v>247.85999999998603</v>
      </c>
      <c r="M8" s="4">
        <f t="shared" si="1"/>
        <v>4.9825287847274585E-4</v>
      </c>
      <c r="N8" s="2">
        <f t="shared" si="2"/>
        <v>-5519.6399999999558</v>
      </c>
      <c r="O8" s="6">
        <f t="shared" si="3"/>
        <v>0.98890984056655129</v>
      </c>
    </row>
    <row r="9" spans="1:15" x14ac:dyDescent="0.2">
      <c r="A9" t="s">
        <v>11</v>
      </c>
      <c r="B9" t="s">
        <v>12</v>
      </c>
      <c r="C9" t="s">
        <v>13</v>
      </c>
      <c r="D9" t="s">
        <v>14</v>
      </c>
      <c r="E9" t="s">
        <v>15</v>
      </c>
      <c r="F9" s="1">
        <v>45323</v>
      </c>
      <c r="G9" t="s">
        <v>17</v>
      </c>
      <c r="H9" s="2">
        <v>417224.61</v>
      </c>
      <c r="I9" s="2">
        <v>428145.64</v>
      </c>
      <c r="J9" s="2">
        <v>420001.51</v>
      </c>
      <c r="K9" s="2">
        <v>422933.18</v>
      </c>
      <c r="L9" s="2">
        <f t="shared" si="0"/>
        <v>10921.030000000028</v>
      </c>
      <c r="M9" s="4">
        <f t="shared" si="1"/>
        <v>2.6175421435471E-2</v>
      </c>
      <c r="N9" s="2">
        <f t="shared" si="2"/>
        <v>-8144.1300000000047</v>
      </c>
      <c r="O9" s="6">
        <f t="shared" si="3"/>
        <v>0.98097813164697878</v>
      </c>
    </row>
    <row r="10" spans="1:15" x14ac:dyDescent="0.2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s="1">
        <v>45323</v>
      </c>
      <c r="G10" t="s">
        <v>18</v>
      </c>
      <c r="H10" s="2">
        <v>315306.42</v>
      </c>
      <c r="I10" s="2">
        <v>323662.89</v>
      </c>
      <c r="J10" s="2">
        <v>308232.40000000002</v>
      </c>
      <c r="K10" s="2">
        <v>323866.7</v>
      </c>
      <c r="L10" s="2">
        <f t="shared" si="0"/>
        <v>8356.4700000000303</v>
      </c>
      <c r="M10" s="4">
        <f t="shared" si="1"/>
        <v>2.6502695378039023E-2</v>
      </c>
      <c r="N10" s="2">
        <f t="shared" si="2"/>
        <v>-15430.489999999991</v>
      </c>
      <c r="O10" s="6">
        <f t="shared" si="3"/>
        <v>0.95232542723696256</v>
      </c>
    </row>
    <row r="11" spans="1:15" x14ac:dyDescent="0.2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s="1">
        <v>45323</v>
      </c>
      <c r="G11" t="s">
        <v>19</v>
      </c>
      <c r="H11" s="2">
        <v>239542.09</v>
      </c>
      <c r="I11" s="2">
        <v>240283.96</v>
      </c>
      <c r="J11" s="2">
        <v>233770.09</v>
      </c>
      <c r="K11" s="2">
        <v>239579.57</v>
      </c>
      <c r="L11" s="2">
        <f t="shared" si="0"/>
        <v>741.86999999999534</v>
      </c>
      <c r="M11" s="4">
        <f t="shared" si="1"/>
        <v>3.0970340118515096E-3</v>
      </c>
      <c r="N11" s="2">
        <f t="shared" si="2"/>
        <v>-6513.8699999999953</v>
      </c>
      <c r="O11" s="6">
        <f t="shared" si="3"/>
        <v>0.97289094952488719</v>
      </c>
    </row>
    <row r="12" spans="1:15" x14ac:dyDescent="0.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s="1">
        <v>45323</v>
      </c>
      <c r="G12" t="s">
        <v>20</v>
      </c>
      <c r="H12" s="2">
        <v>54895.05</v>
      </c>
      <c r="I12" s="2">
        <v>56272.67</v>
      </c>
      <c r="J12" s="2">
        <v>54400.57</v>
      </c>
      <c r="K12" s="2">
        <v>55559.91</v>
      </c>
      <c r="L12" s="2">
        <f t="shared" si="0"/>
        <v>1377.6199999999953</v>
      </c>
      <c r="M12" s="4">
        <f t="shared" si="1"/>
        <v>2.5095523184695073E-2</v>
      </c>
      <c r="N12" s="2">
        <f t="shared" si="2"/>
        <v>-1872.0999999999985</v>
      </c>
      <c r="O12" s="6">
        <f t="shared" si="3"/>
        <v>0.96673163011458318</v>
      </c>
    </row>
    <row r="13" spans="1:15" x14ac:dyDescent="0.2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s="1">
        <v>45323</v>
      </c>
      <c r="G13" t="s">
        <v>21</v>
      </c>
      <c r="H13" s="2">
        <v>85923.92</v>
      </c>
      <c r="I13" s="2">
        <v>83667.240000000005</v>
      </c>
      <c r="J13" s="2">
        <v>83509.38</v>
      </c>
      <c r="K13" s="2">
        <v>83455.33</v>
      </c>
      <c r="L13" s="2">
        <f t="shared" si="0"/>
        <v>-2256.679999999993</v>
      </c>
      <c r="M13" s="4">
        <f t="shared" si="1"/>
        <v>-2.626369932842907E-2</v>
      </c>
      <c r="N13" s="2">
        <f t="shared" si="2"/>
        <v>-157.86000000000058</v>
      </c>
      <c r="O13" s="6">
        <f t="shared" si="3"/>
        <v>0.99811324002082535</v>
      </c>
    </row>
    <row r="14" spans="1:15" x14ac:dyDescent="0.2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s="1">
        <v>45352</v>
      </c>
      <c r="G14" t="s">
        <v>16</v>
      </c>
      <c r="H14" s="2">
        <v>514395.86</v>
      </c>
      <c r="I14" s="2">
        <v>520812.76</v>
      </c>
      <c r="J14" s="2">
        <v>523075.54</v>
      </c>
      <c r="K14" s="2">
        <v>512596.9</v>
      </c>
      <c r="L14" s="2">
        <f t="shared" si="0"/>
        <v>6416.9000000000233</v>
      </c>
      <c r="M14" s="4">
        <f t="shared" si="1"/>
        <v>1.2474633835505643E-2</v>
      </c>
      <c r="N14" s="2">
        <f t="shared" si="2"/>
        <v>2262.7799999999697</v>
      </c>
      <c r="O14" s="6">
        <f t="shared" si="3"/>
        <v>1.0043447092194899</v>
      </c>
    </row>
    <row r="15" spans="1:15" x14ac:dyDescent="0.2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s="1">
        <v>45352</v>
      </c>
      <c r="G15" t="s">
        <v>17</v>
      </c>
      <c r="H15" s="2">
        <v>421824.89</v>
      </c>
      <c r="I15" s="2">
        <v>430323.84</v>
      </c>
      <c r="J15" s="2">
        <v>421108.62</v>
      </c>
      <c r="K15" s="2">
        <v>426907.83</v>
      </c>
      <c r="L15" s="2">
        <f t="shared" si="0"/>
        <v>8498.9500000000116</v>
      </c>
      <c r="M15" s="4">
        <f t="shared" si="1"/>
        <v>2.014805243000244E-2</v>
      </c>
      <c r="N15" s="2">
        <f t="shared" si="2"/>
        <v>-9215.2200000000303</v>
      </c>
      <c r="O15" s="6">
        <f t="shared" si="3"/>
        <v>0.97858538351024194</v>
      </c>
    </row>
    <row r="16" spans="1:15" x14ac:dyDescent="0.2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s="1">
        <v>45352</v>
      </c>
      <c r="G16" t="s">
        <v>18</v>
      </c>
      <c r="H16" s="2">
        <v>324356.21999999997</v>
      </c>
      <c r="I16" s="2">
        <v>325160.71999999997</v>
      </c>
      <c r="J16" s="2">
        <v>329633.02</v>
      </c>
      <c r="K16" s="2">
        <v>327871.5</v>
      </c>
      <c r="L16" s="2">
        <f t="shared" si="0"/>
        <v>804.5</v>
      </c>
      <c r="M16" s="4">
        <f t="shared" si="1"/>
        <v>2.4802977417852511E-3</v>
      </c>
      <c r="N16" s="2">
        <f t="shared" si="2"/>
        <v>4472.3000000000466</v>
      </c>
      <c r="O16" s="6">
        <f t="shared" si="3"/>
        <v>1.0137541213465147</v>
      </c>
    </row>
    <row r="17" spans="1:15" x14ac:dyDescent="0.2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s="1">
        <v>45352</v>
      </c>
      <c r="G17" t="s">
        <v>19</v>
      </c>
      <c r="H17" s="2">
        <v>228419.51</v>
      </c>
      <c r="I17" s="2">
        <v>226332.14</v>
      </c>
      <c r="J17" s="2">
        <v>230282.18</v>
      </c>
      <c r="K17" s="2">
        <v>226796.72</v>
      </c>
      <c r="L17" s="2">
        <f t="shared" si="0"/>
        <v>-2087.3699999999953</v>
      </c>
      <c r="M17" s="4">
        <f t="shared" si="1"/>
        <v>-9.1383174755956496E-3</v>
      </c>
      <c r="N17" s="2">
        <f t="shared" si="2"/>
        <v>3950.039999999979</v>
      </c>
      <c r="O17" s="6">
        <f t="shared" si="3"/>
        <v>1.017452404240953</v>
      </c>
    </row>
    <row r="18" spans="1:15" x14ac:dyDescent="0.2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s="1">
        <v>45352</v>
      </c>
      <c r="G18" t="s">
        <v>20</v>
      </c>
      <c r="H18" s="2">
        <v>57291.57</v>
      </c>
      <c r="I18" s="2">
        <v>56301.03</v>
      </c>
      <c r="J18" s="2">
        <v>56998.92</v>
      </c>
      <c r="K18" s="2">
        <v>57086.98</v>
      </c>
      <c r="L18" s="2">
        <f t="shared" si="0"/>
        <v>-990.54000000000087</v>
      </c>
      <c r="M18" s="4">
        <f t="shared" si="1"/>
        <v>-1.7289454626570732E-2</v>
      </c>
      <c r="N18" s="2">
        <f t="shared" si="2"/>
        <v>697.88999999999942</v>
      </c>
      <c r="O18" s="6">
        <f t="shared" si="3"/>
        <v>1.0123956879652112</v>
      </c>
    </row>
    <row r="19" spans="1:15" x14ac:dyDescent="0.2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s="1">
        <v>45352</v>
      </c>
      <c r="G19" t="s">
        <v>21</v>
      </c>
      <c r="H19" s="2">
        <v>89609.18</v>
      </c>
      <c r="I19" s="2">
        <v>92312.21</v>
      </c>
      <c r="J19" s="2">
        <v>88651.78</v>
      </c>
      <c r="K19" s="2">
        <v>91973.9</v>
      </c>
      <c r="L19" s="2">
        <f t="shared" si="0"/>
        <v>2703.0300000000134</v>
      </c>
      <c r="M19" s="4">
        <f t="shared" si="1"/>
        <v>3.0164655005212787E-2</v>
      </c>
      <c r="N19" s="2">
        <f t="shared" si="2"/>
        <v>-3660.4300000000076</v>
      </c>
      <c r="O19" s="6">
        <f t="shared" si="3"/>
        <v>0.96034728233675692</v>
      </c>
    </row>
    <row r="20" spans="1:15" x14ac:dyDescent="0.2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s="1">
        <v>45383</v>
      </c>
      <c r="G20" t="s">
        <v>16</v>
      </c>
      <c r="H20" s="2">
        <v>522975.9</v>
      </c>
      <c r="I20" s="2">
        <v>514375.3</v>
      </c>
      <c r="J20" s="2">
        <v>519643.13</v>
      </c>
      <c r="K20" s="2">
        <v>513202.88</v>
      </c>
      <c r="L20" s="2">
        <f t="shared" si="0"/>
        <v>-8600.6000000000349</v>
      </c>
      <c r="M20" s="4">
        <f t="shared" si="1"/>
        <v>-1.6445499687461763E-2</v>
      </c>
      <c r="N20" s="2">
        <f t="shared" si="2"/>
        <v>5267.8300000000163</v>
      </c>
      <c r="O20" s="6">
        <f t="shared" si="3"/>
        <v>1.0102412188143559</v>
      </c>
    </row>
    <row r="21" spans="1:15" x14ac:dyDescent="0.2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s="1">
        <v>45383</v>
      </c>
      <c r="G21" t="s">
        <v>17</v>
      </c>
      <c r="H21" s="2">
        <v>410686.58</v>
      </c>
      <c r="I21" s="2">
        <v>412296.36</v>
      </c>
      <c r="J21" s="2">
        <v>406669.96</v>
      </c>
      <c r="K21" s="2">
        <v>413491.31</v>
      </c>
      <c r="L21" s="2">
        <f t="shared" si="0"/>
        <v>1609.7799999999697</v>
      </c>
      <c r="M21" s="4">
        <f t="shared" si="1"/>
        <v>3.9197287625029522E-3</v>
      </c>
      <c r="N21" s="2">
        <f t="shared" si="2"/>
        <v>-5626.3999999999651</v>
      </c>
      <c r="O21" s="6">
        <f t="shared" si="3"/>
        <v>0.98635350552209589</v>
      </c>
    </row>
    <row r="22" spans="1:15" x14ac:dyDescent="0.2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s="1">
        <v>45383</v>
      </c>
      <c r="G22" t="s">
        <v>18</v>
      </c>
      <c r="H22" s="2">
        <v>325888.64000000001</v>
      </c>
      <c r="I22" s="2">
        <v>315043.23</v>
      </c>
      <c r="J22" s="2">
        <v>317340.94</v>
      </c>
      <c r="K22" s="2">
        <v>315914.07</v>
      </c>
      <c r="L22" s="2">
        <f t="shared" si="0"/>
        <v>-10845.410000000033</v>
      </c>
      <c r="M22" s="4">
        <f t="shared" si="1"/>
        <v>-3.3279496947178126E-2</v>
      </c>
      <c r="N22" s="2">
        <f t="shared" si="2"/>
        <v>2297.710000000021</v>
      </c>
      <c r="O22" s="6">
        <f t="shared" si="3"/>
        <v>1.0072933165394478</v>
      </c>
    </row>
    <row r="23" spans="1:15" x14ac:dyDescent="0.2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s="1">
        <v>45383</v>
      </c>
      <c r="G23" t="s">
        <v>19</v>
      </c>
      <c r="H23" s="2">
        <v>235828.68</v>
      </c>
      <c r="I23" s="2">
        <v>229294.68</v>
      </c>
      <c r="J23" s="2">
        <v>235266.4</v>
      </c>
      <c r="K23" s="2">
        <v>234773.17</v>
      </c>
      <c r="L23" s="2">
        <f t="shared" si="0"/>
        <v>-6534</v>
      </c>
      <c r="M23" s="4">
        <f t="shared" si="1"/>
        <v>-2.7706553757583685E-2</v>
      </c>
      <c r="N23" s="2">
        <f t="shared" si="2"/>
        <v>5971.7200000000012</v>
      </c>
      <c r="O23" s="6">
        <f t="shared" si="3"/>
        <v>1.0260438663470082</v>
      </c>
    </row>
    <row r="24" spans="1:15" x14ac:dyDescent="0.2">
      <c r="A24" t="s">
        <v>11</v>
      </c>
      <c r="B24" t="s">
        <v>12</v>
      </c>
      <c r="C24" t="s">
        <v>13</v>
      </c>
      <c r="D24" t="s">
        <v>14</v>
      </c>
      <c r="E24" t="s">
        <v>15</v>
      </c>
      <c r="F24" s="1">
        <v>45383</v>
      </c>
      <c r="G24" t="s">
        <v>20</v>
      </c>
      <c r="H24" s="2">
        <v>57758.86</v>
      </c>
      <c r="I24" s="2">
        <v>59104.31</v>
      </c>
      <c r="J24" s="2">
        <v>58170.65</v>
      </c>
      <c r="K24" s="2">
        <v>59010.05</v>
      </c>
      <c r="L24" s="2">
        <f t="shared" si="0"/>
        <v>1345.4499999999971</v>
      </c>
      <c r="M24" s="4">
        <f t="shared" si="1"/>
        <v>2.3294261694223137E-2</v>
      </c>
      <c r="N24" s="2">
        <f t="shared" si="2"/>
        <v>-933.65999999999622</v>
      </c>
      <c r="O24" s="6">
        <f t="shared" si="3"/>
        <v>0.98420318247518668</v>
      </c>
    </row>
    <row r="25" spans="1:15" x14ac:dyDescent="0.2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 s="1">
        <v>45383</v>
      </c>
      <c r="G25" t="s">
        <v>21</v>
      </c>
      <c r="H25" s="2">
        <v>87110.96</v>
      </c>
      <c r="I25" s="2">
        <v>84474.43</v>
      </c>
      <c r="J25" s="2">
        <v>85229.95</v>
      </c>
      <c r="K25" s="2">
        <v>86481.65</v>
      </c>
      <c r="L25" s="2">
        <f t="shared" si="0"/>
        <v>-2636.5300000000134</v>
      </c>
      <c r="M25" s="4">
        <f t="shared" si="1"/>
        <v>-3.0266340768142299E-2</v>
      </c>
      <c r="N25" s="2">
        <f t="shared" si="2"/>
        <v>755.52000000000407</v>
      </c>
      <c r="O25" s="6">
        <f t="shared" si="3"/>
        <v>1.0089437715057681</v>
      </c>
    </row>
    <row r="26" spans="1:15" x14ac:dyDescent="0.2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 s="1">
        <v>45413</v>
      </c>
      <c r="G26" t="s">
        <v>16</v>
      </c>
      <c r="H26" s="2">
        <v>511103.16</v>
      </c>
      <c r="I26" s="2">
        <v>503460.05</v>
      </c>
      <c r="J26" s="2">
        <v>512990.12</v>
      </c>
      <c r="K26" s="2">
        <v>501109.24</v>
      </c>
      <c r="L26" s="2">
        <f t="shared" si="0"/>
        <v>-7643.109999999986</v>
      </c>
      <c r="M26" s="4">
        <f t="shared" si="1"/>
        <v>-1.4954143504023701E-2</v>
      </c>
      <c r="N26" s="2">
        <f t="shared" si="2"/>
        <v>9530.070000000007</v>
      </c>
      <c r="O26" s="6">
        <f t="shared" si="3"/>
        <v>1.0189291484001561</v>
      </c>
    </row>
    <row r="27" spans="1:15" x14ac:dyDescent="0.2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 s="1">
        <v>45413</v>
      </c>
      <c r="G27" t="s">
        <v>17</v>
      </c>
      <c r="H27" s="2">
        <v>426203.03</v>
      </c>
      <c r="I27" s="2">
        <v>417234.5</v>
      </c>
      <c r="J27" s="2">
        <v>427453.16</v>
      </c>
      <c r="K27" s="2">
        <v>425997.94</v>
      </c>
      <c r="L27" s="2">
        <f t="shared" si="0"/>
        <v>-8968.5300000000279</v>
      </c>
      <c r="M27" s="4">
        <f t="shared" si="1"/>
        <v>-2.1042858376675612E-2</v>
      </c>
      <c r="N27" s="2">
        <f t="shared" si="2"/>
        <v>10218.659999999974</v>
      </c>
      <c r="O27" s="6">
        <f t="shared" si="3"/>
        <v>1.0244914071103899</v>
      </c>
    </row>
    <row r="28" spans="1:15" x14ac:dyDescent="0.2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 s="1">
        <v>45413</v>
      </c>
      <c r="G28" t="s">
        <v>18</v>
      </c>
      <c r="H28" s="2">
        <v>329654.74</v>
      </c>
      <c r="I28" s="2">
        <v>330396.67</v>
      </c>
      <c r="J28" s="2">
        <v>336120.86</v>
      </c>
      <c r="K28" s="2">
        <v>329691.15999999997</v>
      </c>
      <c r="L28" s="2">
        <f t="shared" si="0"/>
        <v>741.92999999999302</v>
      </c>
      <c r="M28" s="4">
        <f t="shared" si="1"/>
        <v>2.2506274291702677E-3</v>
      </c>
      <c r="N28" s="2">
        <f t="shared" si="2"/>
        <v>5724.1900000000023</v>
      </c>
      <c r="O28" s="6">
        <f t="shared" si="3"/>
        <v>1.0173252048817563</v>
      </c>
    </row>
    <row r="29" spans="1:15" x14ac:dyDescent="0.2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 s="1">
        <v>45413</v>
      </c>
      <c r="G29" t="s">
        <v>19</v>
      </c>
      <c r="H29" s="2">
        <v>234956.57</v>
      </c>
      <c r="I29" s="2">
        <v>229783.92</v>
      </c>
      <c r="J29" s="2">
        <v>228757.15</v>
      </c>
      <c r="K29" s="2">
        <v>230925.63</v>
      </c>
      <c r="L29" s="2">
        <f t="shared" si="0"/>
        <v>-5172.6499999999942</v>
      </c>
      <c r="M29" s="4">
        <f t="shared" si="1"/>
        <v>-2.201534521890575E-2</v>
      </c>
      <c r="N29" s="2">
        <f t="shared" si="2"/>
        <v>-1026.7700000000186</v>
      </c>
      <c r="O29" s="6">
        <f t="shared" si="3"/>
        <v>0.99553158462959457</v>
      </c>
    </row>
    <row r="30" spans="1:15" x14ac:dyDescent="0.2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s="1">
        <v>45413</v>
      </c>
      <c r="G30" t="s">
        <v>20</v>
      </c>
      <c r="H30" s="2">
        <v>57182.78</v>
      </c>
      <c r="I30" s="2">
        <v>55323.97</v>
      </c>
      <c r="J30" s="2">
        <v>57177.69</v>
      </c>
      <c r="K30" s="2">
        <v>56113.36</v>
      </c>
      <c r="L30" s="2">
        <f t="shared" si="0"/>
        <v>-1858.8099999999977</v>
      </c>
      <c r="M30" s="4">
        <f t="shared" si="1"/>
        <v>-3.2506464358675768E-2</v>
      </c>
      <c r="N30" s="2">
        <f t="shared" si="2"/>
        <v>1853.7200000000012</v>
      </c>
      <c r="O30" s="6">
        <f t="shared" si="3"/>
        <v>1.0335066337430232</v>
      </c>
    </row>
    <row r="31" spans="1:15" x14ac:dyDescent="0.2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 s="1">
        <v>45413</v>
      </c>
      <c r="G31" t="s">
        <v>21</v>
      </c>
      <c r="H31" s="2">
        <v>85237.99</v>
      </c>
      <c r="I31" s="2">
        <v>87553.91</v>
      </c>
      <c r="J31" s="2">
        <v>83729.62</v>
      </c>
      <c r="K31" s="2">
        <v>87135.62</v>
      </c>
      <c r="L31" s="2">
        <f t="shared" si="0"/>
        <v>2315.9199999999983</v>
      </c>
      <c r="M31" s="4">
        <f t="shared" si="1"/>
        <v>2.7170044718323346E-2</v>
      </c>
      <c r="N31" s="2">
        <f t="shared" si="2"/>
        <v>-3824.2900000000081</v>
      </c>
      <c r="O31" s="6">
        <f t="shared" si="3"/>
        <v>0.95632073998751155</v>
      </c>
    </row>
    <row r="32" spans="1:15" x14ac:dyDescent="0.2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 s="1">
        <v>45444</v>
      </c>
      <c r="G32" t="s">
        <v>16</v>
      </c>
      <c r="H32" s="2">
        <v>520154.84</v>
      </c>
      <c r="I32" s="2">
        <v>519136.11</v>
      </c>
      <c r="J32" s="2">
        <v>516890.56</v>
      </c>
      <c r="K32" s="2">
        <v>521661.8</v>
      </c>
      <c r="L32" s="2">
        <f t="shared" si="0"/>
        <v>-1018.7300000000396</v>
      </c>
      <c r="M32" s="4">
        <f t="shared" si="1"/>
        <v>-1.9585129689460154E-3</v>
      </c>
      <c r="N32" s="2">
        <f t="shared" si="2"/>
        <v>-2245.5499999999884</v>
      </c>
      <c r="O32" s="6">
        <f t="shared" si="3"/>
        <v>0.99567444846015429</v>
      </c>
    </row>
    <row r="33" spans="1:15" x14ac:dyDescent="0.2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 s="1">
        <v>45444</v>
      </c>
      <c r="G33" t="s">
        <v>17</v>
      </c>
      <c r="H33" s="2">
        <v>431555.51</v>
      </c>
      <c r="I33" s="2">
        <v>418452.58</v>
      </c>
      <c r="J33" s="2">
        <v>425703.83</v>
      </c>
      <c r="K33" s="2">
        <v>429929.25</v>
      </c>
      <c r="L33" s="2">
        <f t="shared" si="0"/>
        <v>-13102.929999999993</v>
      </c>
      <c r="M33" s="4">
        <f t="shared" si="1"/>
        <v>-3.036209640794528E-2</v>
      </c>
      <c r="N33" s="2">
        <f t="shared" si="2"/>
        <v>7251.25</v>
      </c>
      <c r="O33" s="6">
        <f t="shared" si="3"/>
        <v>1.0173287257543018</v>
      </c>
    </row>
    <row r="34" spans="1:15" x14ac:dyDescent="0.2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s="1">
        <v>45444</v>
      </c>
      <c r="G34" t="s">
        <v>18</v>
      </c>
      <c r="H34" s="2">
        <v>321989.65000000002</v>
      </c>
      <c r="I34" s="2">
        <v>313447.44</v>
      </c>
      <c r="J34" s="2">
        <v>330216.90999999997</v>
      </c>
      <c r="K34" s="2">
        <v>321908.76</v>
      </c>
      <c r="L34" s="2">
        <f t="shared" si="0"/>
        <v>-8542.210000000021</v>
      </c>
      <c r="M34" s="4">
        <f t="shared" si="1"/>
        <v>-2.6529455216961231E-2</v>
      </c>
      <c r="N34" s="2">
        <f t="shared" si="2"/>
        <v>16769.469999999972</v>
      </c>
      <c r="O34" s="6">
        <f t="shared" si="3"/>
        <v>1.053500101962868</v>
      </c>
    </row>
    <row r="35" spans="1:15" x14ac:dyDescent="0.2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 s="1">
        <v>45444</v>
      </c>
      <c r="G35" t="s">
        <v>19</v>
      </c>
      <c r="H35" s="2">
        <v>241495.59</v>
      </c>
      <c r="I35" s="2">
        <v>245066.44</v>
      </c>
      <c r="J35" s="2">
        <v>238843.96</v>
      </c>
      <c r="K35" s="2">
        <v>246724.12</v>
      </c>
      <c r="L35" s="2">
        <f t="shared" si="0"/>
        <v>3570.8500000000058</v>
      </c>
      <c r="M35" s="4">
        <f t="shared" si="1"/>
        <v>1.4786398376881359E-2</v>
      </c>
      <c r="N35" s="2">
        <f t="shared" si="2"/>
        <v>-6222.4800000000105</v>
      </c>
      <c r="O35" s="6">
        <f t="shared" si="3"/>
        <v>0.97460900807144379</v>
      </c>
    </row>
    <row r="36" spans="1:15" x14ac:dyDescent="0.2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s="1">
        <v>45444</v>
      </c>
      <c r="G36" t="s">
        <v>20</v>
      </c>
      <c r="H36" s="2">
        <v>58841.84</v>
      </c>
      <c r="I36" s="2">
        <v>58516.03</v>
      </c>
      <c r="J36" s="2">
        <v>60316</v>
      </c>
      <c r="K36" s="2">
        <v>58695.81</v>
      </c>
      <c r="L36" s="2">
        <f t="shared" si="0"/>
        <v>-325.80999999999767</v>
      </c>
      <c r="M36" s="4">
        <f t="shared" si="1"/>
        <v>-5.5370464281877946E-3</v>
      </c>
      <c r="N36" s="2">
        <f t="shared" si="2"/>
        <v>1799.9700000000012</v>
      </c>
      <c r="O36" s="6">
        <f t="shared" si="3"/>
        <v>1.0307602891036867</v>
      </c>
    </row>
    <row r="37" spans="1:15" x14ac:dyDescent="0.2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s="1">
        <v>45444</v>
      </c>
      <c r="G37" t="s">
        <v>21</v>
      </c>
      <c r="H37" s="2">
        <v>89330.08</v>
      </c>
      <c r="I37" s="2">
        <v>91408.73</v>
      </c>
      <c r="J37" s="2">
        <v>90894.76</v>
      </c>
      <c r="K37" s="2">
        <v>89750.37</v>
      </c>
      <c r="L37" s="2">
        <f t="shared" si="0"/>
        <v>2078.6499999999942</v>
      </c>
      <c r="M37" s="4">
        <f t="shared" si="1"/>
        <v>2.3269317569177082E-2</v>
      </c>
      <c r="N37" s="2">
        <f t="shared" si="2"/>
        <v>-513.97000000000116</v>
      </c>
      <c r="O37" s="6">
        <f t="shared" si="3"/>
        <v>0.99437723289668278</v>
      </c>
    </row>
    <row r="38" spans="1:15" x14ac:dyDescent="0.2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 s="1">
        <v>45474</v>
      </c>
      <c r="G38" t="s">
        <v>16</v>
      </c>
      <c r="H38" s="2">
        <v>559388.72</v>
      </c>
      <c r="I38" s="2">
        <v>560177.17000000004</v>
      </c>
      <c r="J38" s="2">
        <v>555331.18999999994</v>
      </c>
      <c r="K38" s="2">
        <v>566508.91</v>
      </c>
      <c r="L38" s="2">
        <f t="shared" si="0"/>
        <v>788.45000000006985</v>
      </c>
      <c r="M38" s="4">
        <f t="shared" si="1"/>
        <v>1.4094849821070219E-3</v>
      </c>
      <c r="N38" s="2">
        <f t="shared" si="2"/>
        <v>-4845.9800000000978</v>
      </c>
      <c r="O38" s="6">
        <f t="shared" si="3"/>
        <v>0.99134920118219005</v>
      </c>
    </row>
    <row r="39" spans="1:15" x14ac:dyDescent="0.2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 s="1">
        <v>45474</v>
      </c>
      <c r="G39" t="s">
        <v>17</v>
      </c>
      <c r="H39" s="2">
        <v>411616.84</v>
      </c>
      <c r="I39" s="2">
        <v>402823.97</v>
      </c>
      <c r="J39" s="2">
        <v>421680.29</v>
      </c>
      <c r="K39" s="2">
        <v>411669.31</v>
      </c>
      <c r="L39" s="2">
        <f t="shared" si="0"/>
        <v>-8792.8700000000536</v>
      </c>
      <c r="M39" s="4">
        <f t="shared" si="1"/>
        <v>-2.1361783934787635E-2</v>
      </c>
      <c r="N39" s="2">
        <f t="shared" si="2"/>
        <v>18856.320000000007</v>
      </c>
      <c r="O39" s="6">
        <f t="shared" si="3"/>
        <v>1.0468103226329852</v>
      </c>
    </row>
    <row r="40" spans="1:15" x14ac:dyDescent="0.2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s="1">
        <v>45474</v>
      </c>
      <c r="G40" t="s">
        <v>18</v>
      </c>
      <c r="H40" s="2">
        <v>346149.09</v>
      </c>
      <c r="I40" s="2">
        <v>337261.28</v>
      </c>
      <c r="J40" s="2">
        <v>336526.16</v>
      </c>
      <c r="K40" s="2">
        <v>345721.21</v>
      </c>
      <c r="L40" s="2">
        <f t="shared" si="0"/>
        <v>-8887.8099999999977</v>
      </c>
      <c r="M40" s="4">
        <f t="shared" si="1"/>
        <v>-2.5676248347207838E-2</v>
      </c>
      <c r="N40" s="2">
        <f t="shared" si="2"/>
        <v>-735.12000000005355</v>
      </c>
      <c r="O40" s="6">
        <f t="shared" si="3"/>
        <v>0.99782032494213369</v>
      </c>
    </row>
    <row r="41" spans="1:15" x14ac:dyDescent="0.2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 s="1">
        <v>45474</v>
      </c>
      <c r="G41" t="s">
        <v>19</v>
      </c>
      <c r="H41" s="2">
        <v>251219.81</v>
      </c>
      <c r="I41" s="2">
        <v>252641.8</v>
      </c>
      <c r="J41" s="2">
        <v>251533.08</v>
      </c>
      <c r="K41" s="2">
        <v>253665.37</v>
      </c>
      <c r="L41" s="2">
        <f t="shared" si="0"/>
        <v>1421.9899999999907</v>
      </c>
      <c r="M41" s="4">
        <f t="shared" si="1"/>
        <v>5.6603418337112452E-3</v>
      </c>
      <c r="N41" s="2">
        <f t="shared" si="2"/>
        <v>-1108.7200000000012</v>
      </c>
      <c r="O41" s="6">
        <f t="shared" si="3"/>
        <v>0.99561149421829642</v>
      </c>
    </row>
    <row r="42" spans="1:15" x14ac:dyDescent="0.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s="1">
        <v>45474</v>
      </c>
      <c r="G42" t="s">
        <v>20</v>
      </c>
      <c r="H42" s="2">
        <v>57649.01</v>
      </c>
      <c r="I42" s="2">
        <v>57566.71</v>
      </c>
      <c r="J42" s="2">
        <v>56720.65</v>
      </c>
      <c r="K42" s="2">
        <v>57278.23</v>
      </c>
      <c r="L42" s="2">
        <f t="shared" si="0"/>
        <v>-82.30000000000291</v>
      </c>
      <c r="M42" s="4">
        <f t="shared" si="1"/>
        <v>-1.42760474117427E-3</v>
      </c>
      <c r="N42" s="2">
        <f t="shared" si="2"/>
        <v>-846.05999999999767</v>
      </c>
      <c r="O42" s="6">
        <f t="shared" si="3"/>
        <v>0.98530296416105767</v>
      </c>
    </row>
    <row r="43" spans="1:15" x14ac:dyDescent="0.2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 s="1">
        <v>45474</v>
      </c>
      <c r="G43" t="s">
        <v>21</v>
      </c>
      <c r="H43" s="2">
        <v>88532.49</v>
      </c>
      <c r="I43" s="2">
        <v>88318.64</v>
      </c>
      <c r="J43" s="2">
        <v>88186.08</v>
      </c>
      <c r="K43" s="2">
        <v>88008.320000000007</v>
      </c>
      <c r="L43" s="2">
        <f t="shared" si="0"/>
        <v>-213.85000000000582</v>
      </c>
      <c r="M43" s="4">
        <f t="shared" si="1"/>
        <v>-2.4154974066583445E-3</v>
      </c>
      <c r="N43" s="2">
        <f t="shared" si="2"/>
        <v>-132.55999999999767</v>
      </c>
      <c r="O43" s="6">
        <f t="shared" si="3"/>
        <v>0.99849907109076863</v>
      </c>
    </row>
    <row r="44" spans="1:15" x14ac:dyDescent="0.2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 s="1">
        <v>45505</v>
      </c>
      <c r="G44" t="s">
        <v>16</v>
      </c>
      <c r="H44" s="2">
        <v>523100.62</v>
      </c>
      <c r="I44" s="2">
        <v>520954.31</v>
      </c>
      <c r="J44" s="2">
        <v>519103.98</v>
      </c>
      <c r="K44" s="2">
        <v>528867.1</v>
      </c>
      <c r="L44" s="2">
        <f t="shared" si="0"/>
        <v>-2146.3099999999977</v>
      </c>
      <c r="M44" s="4">
        <f t="shared" si="1"/>
        <v>-4.1030538254762487E-3</v>
      </c>
      <c r="N44" s="2">
        <f t="shared" si="2"/>
        <v>-1850.3300000000163</v>
      </c>
      <c r="O44" s="6">
        <f t="shared" si="3"/>
        <v>0.99644819139705354</v>
      </c>
    </row>
    <row r="45" spans="1:15" x14ac:dyDescent="0.2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s="1">
        <v>45505</v>
      </c>
      <c r="G45" t="s">
        <v>17</v>
      </c>
      <c r="H45" s="2">
        <v>418447.48</v>
      </c>
      <c r="I45" s="2">
        <v>416893.1</v>
      </c>
      <c r="J45" s="2">
        <v>415038.37</v>
      </c>
      <c r="K45" s="2">
        <v>414772.17</v>
      </c>
      <c r="L45" s="2">
        <f t="shared" si="0"/>
        <v>-1554.3800000000047</v>
      </c>
      <c r="M45" s="4">
        <f t="shared" si="1"/>
        <v>-3.7146358247873894E-3</v>
      </c>
      <c r="N45" s="2">
        <f t="shared" si="2"/>
        <v>-1854.7299999999814</v>
      </c>
      <c r="O45" s="6">
        <f t="shared" si="3"/>
        <v>0.99555106572884033</v>
      </c>
    </row>
    <row r="46" spans="1:15" x14ac:dyDescent="0.2">
      <c r="A46" t="s">
        <v>11</v>
      </c>
      <c r="B46" t="s">
        <v>12</v>
      </c>
      <c r="C46" t="s">
        <v>13</v>
      </c>
      <c r="D46" t="s">
        <v>14</v>
      </c>
      <c r="E46" t="s">
        <v>15</v>
      </c>
      <c r="F46" s="1">
        <v>45505</v>
      </c>
      <c r="G46" t="s">
        <v>18</v>
      </c>
      <c r="H46" s="2">
        <v>327620.28999999998</v>
      </c>
      <c r="I46" s="2">
        <v>327411.44</v>
      </c>
      <c r="J46" s="2">
        <v>319555.43</v>
      </c>
      <c r="K46" s="2">
        <v>331054.58</v>
      </c>
      <c r="L46" s="2">
        <f t="shared" si="0"/>
        <v>-208.84999999997672</v>
      </c>
      <c r="M46" s="4">
        <f t="shared" si="1"/>
        <v>-6.3747578026982616E-4</v>
      </c>
      <c r="N46" s="2">
        <f t="shared" si="2"/>
        <v>-7856.0100000000093</v>
      </c>
      <c r="O46" s="6">
        <f t="shared" si="3"/>
        <v>0.97600569485293487</v>
      </c>
    </row>
    <row r="47" spans="1:15" x14ac:dyDescent="0.2">
      <c r="A47" t="s">
        <v>11</v>
      </c>
      <c r="B47" t="s">
        <v>12</v>
      </c>
      <c r="C47" t="s">
        <v>13</v>
      </c>
      <c r="D47" t="s">
        <v>14</v>
      </c>
      <c r="E47" t="s">
        <v>15</v>
      </c>
      <c r="F47" s="1">
        <v>45505</v>
      </c>
      <c r="G47" t="s">
        <v>19</v>
      </c>
      <c r="H47" s="2">
        <v>255203.57</v>
      </c>
      <c r="I47" s="2">
        <v>250375.57</v>
      </c>
      <c r="J47" s="2">
        <v>253471.01</v>
      </c>
      <c r="K47" s="2">
        <v>254911.46</v>
      </c>
      <c r="L47" s="2">
        <f t="shared" si="0"/>
        <v>-4828</v>
      </c>
      <c r="M47" s="4">
        <f t="shared" si="1"/>
        <v>-1.8918230650143333E-2</v>
      </c>
      <c r="N47" s="2">
        <f t="shared" si="2"/>
        <v>3095.4400000000023</v>
      </c>
      <c r="O47" s="6">
        <f t="shared" si="3"/>
        <v>1.0123631870313865</v>
      </c>
    </row>
    <row r="48" spans="1:15" x14ac:dyDescent="0.2">
      <c r="A48" t="s">
        <v>11</v>
      </c>
      <c r="B48" t="s">
        <v>12</v>
      </c>
      <c r="C48" t="s">
        <v>13</v>
      </c>
      <c r="D48" t="s">
        <v>14</v>
      </c>
      <c r="E48" t="s">
        <v>15</v>
      </c>
      <c r="F48" s="1">
        <v>45505</v>
      </c>
      <c r="G48" t="s">
        <v>20</v>
      </c>
      <c r="H48" s="2">
        <v>57569.760000000002</v>
      </c>
      <c r="I48" s="2">
        <v>57434.02</v>
      </c>
      <c r="J48" s="2">
        <v>56278.41</v>
      </c>
      <c r="K48" s="2">
        <v>58360.41</v>
      </c>
      <c r="L48" s="2">
        <f t="shared" si="0"/>
        <v>-135.74000000000524</v>
      </c>
      <c r="M48" s="4">
        <f t="shared" si="1"/>
        <v>-2.3578350856422754E-3</v>
      </c>
      <c r="N48" s="2">
        <f t="shared" si="2"/>
        <v>-1155.6099999999933</v>
      </c>
      <c r="O48" s="6">
        <f t="shared" si="3"/>
        <v>0.97987934677043342</v>
      </c>
    </row>
    <row r="49" spans="1:15" x14ac:dyDescent="0.2">
      <c r="A49" t="s">
        <v>11</v>
      </c>
      <c r="B49" t="s">
        <v>12</v>
      </c>
      <c r="C49" t="s">
        <v>13</v>
      </c>
      <c r="D49" t="s">
        <v>14</v>
      </c>
      <c r="E49" t="s">
        <v>15</v>
      </c>
      <c r="F49" s="1">
        <v>45505</v>
      </c>
      <c r="G49" t="s">
        <v>21</v>
      </c>
      <c r="H49" s="2">
        <v>94021.06</v>
      </c>
      <c r="I49" s="2">
        <v>93609.14</v>
      </c>
      <c r="J49" s="2">
        <v>93736.4</v>
      </c>
      <c r="K49" s="2">
        <v>95319.99</v>
      </c>
      <c r="L49" s="2">
        <f t="shared" si="0"/>
        <v>-411.91999999999825</v>
      </c>
      <c r="M49" s="4">
        <f t="shared" si="1"/>
        <v>-4.3811460964171033E-3</v>
      </c>
      <c r="N49" s="2">
        <f t="shared" si="2"/>
        <v>127.25999999999476</v>
      </c>
      <c r="O49" s="6">
        <f t="shared" si="3"/>
        <v>1.0013594826317174</v>
      </c>
    </row>
    <row r="50" spans="1:15" x14ac:dyDescent="0.2">
      <c r="A50" t="s">
        <v>11</v>
      </c>
      <c r="B50" t="s">
        <v>12</v>
      </c>
      <c r="C50" t="s">
        <v>13</v>
      </c>
      <c r="D50" t="s">
        <v>14</v>
      </c>
      <c r="E50" t="s">
        <v>15</v>
      </c>
      <c r="F50" s="1">
        <v>45536</v>
      </c>
      <c r="G50" t="s">
        <v>16</v>
      </c>
      <c r="H50" s="2">
        <v>555166.68999999994</v>
      </c>
      <c r="I50" s="2">
        <v>552090.69999999995</v>
      </c>
      <c r="J50" s="2">
        <v>546056.05000000005</v>
      </c>
      <c r="K50" s="2">
        <v>562068.18000000005</v>
      </c>
      <c r="L50" s="2">
        <f t="shared" si="0"/>
        <v>-3075.9899999999907</v>
      </c>
      <c r="M50" s="4">
        <f t="shared" si="1"/>
        <v>-5.540660229452871E-3</v>
      </c>
      <c r="N50" s="2">
        <f t="shared" si="2"/>
        <v>-6034.6499999999069</v>
      </c>
      <c r="O50" s="6">
        <f t="shared" si="3"/>
        <v>0.98906945905808608</v>
      </c>
    </row>
    <row r="51" spans="1:15" x14ac:dyDescent="0.2">
      <c r="A51" t="s">
        <v>11</v>
      </c>
      <c r="B51" t="s">
        <v>12</v>
      </c>
      <c r="C51" t="s">
        <v>13</v>
      </c>
      <c r="D51" t="s">
        <v>14</v>
      </c>
      <c r="E51" t="s">
        <v>15</v>
      </c>
      <c r="F51" s="1">
        <v>45536</v>
      </c>
      <c r="G51" t="s">
        <v>17</v>
      </c>
      <c r="H51" s="2">
        <v>442161.22</v>
      </c>
      <c r="I51" s="2">
        <v>437140.08</v>
      </c>
      <c r="J51" s="2">
        <v>446544.05</v>
      </c>
      <c r="K51" s="2">
        <v>445873.7</v>
      </c>
      <c r="L51" s="2">
        <f t="shared" si="0"/>
        <v>-5021.1399999999558</v>
      </c>
      <c r="M51" s="4">
        <f t="shared" si="1"/>
        <v>-1.1355903170341252E-2</v>
      </c>
      <c r="N51" s="2">
        <f t="shared" si="2"/>
        <v>9403.9699999999721</v>
      </c>
      <c r="O51" s="6">
        <f t="shared" si="3"/>
        <v>1.0215124863407627</v>
      </c>
    </row>
    <row r="52" spans="1:15" x14ac:dyDescent="0.2">
      <c r="A52" t="s">
        <v>11</v>
      </c>
      <c r="B52" t="s">
        <v>12</v>
      </c>
      <c r="C52" t="s">
        <v>13</v>
      </c>
      <c r="D52" t="s">
        <v>14</v>
      </c>
      <c r="E52" t="s">
        <v>15</v>
      </c>
      <c r="F52" s="1">
        <v>45536</v>
      </c>
      <c r="G52" t="s">
        <v>18</v>
      </c>
      <c r="H52" s="2">
        <v>347168.22</v>
      </c>
      <c r="I52" s="2">
        <v>340255.97</v>
      </c>
      <c r="J52" s="2">
        <v>355124.99</v>
      </c>
      <c r="K52" s="2">
        <v>345792.35</v>
      </c>
      <c r="L52" s="2">
        <f t="shared" si="0"/>
        <v>-6912.25</v>
      </c>
      <c r="M52" s="4">
        <f t="shared" si="1"/>
        <v>-1.9910376589193562E-2</v>
      </c>
      <c r="N52" s="2">
        <f t="shared" si="2"/>
        <v>14869.020000000019</v>
      </c>
      <c r="O52" s="6">
        <f t="shared" si="3"/>
        <v>1.0436995124582238</v>
      </c>
    </row>
    <row r="53" spans="1:15" x14ac:dyDescent="0.2">
      <c r="A53" t="s">
        <v>11</v>
      </c>
      <c r="B53" t="s">
        <v>12</v>
      </c>
      <c r="C53" t="s">
        <v>13</v>
      </c>
      <c r="D53" t="s">
        <v>14</v>
      </c>
      <c r="E53" t="s">
        <v>15</v>
      </c>
      <c r="F53" s="1">
        <v>45536</v>
      </c>
      <c r="G53" t="s">
        <v>19</v>
      </c>
      <c r="H53" s="2">
        <v>252023.97</v>
      </c>
      <c r="I53" s="2">
        <v>249234.32</v>
      </c>
      <c r="J53" s="2">
        <v>245502.34</v>
      </c>
      <c r="K53" s="2">
        <v>249058.81</v>
      </c>
      <c r="L53" s="2">
        <f t="shared" si="0"/>
        <v>-2789.6499999999942</v>
      </c>
      <c r="M53" s="4">
        <f t="shared" si="1"/>
        <v>-1.1068986811056085E-2</v>
      </c>
      <c r="N53" s="2">
        <f t="shared" si="2"/>
        <v>-3731.9800000000105</v>
      </c>
      <c r="O53" s="6">
        <f t="shared" si="3"/>
        <v>0.98502621950299618</v>
      </c>
    </row>
    <row r="54" spans="1:15" x14ac:dyDescent="0.2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 s="1">
        <v>45536</v>
      </c>
      <c r="G54" t="s">
        <v>20</v>
      </c>
      <c r="H54" s="2">
        <v>59116.46</v>
      </c>
      <c r="I54" s="2">
        <v>57109</v>
      </c>
      <c r="J54" s="2">
        <v>60788.76</v>
      </c>
      <c r="K54" s="2">
        <v>57869.91</v>
      </c>
      <c r="L54" s="2">
        <f t="shared" si="0"/>
        <v>-2007.4599999999991</v>
      </c>
      <c r="M54" s="4">
        <f t="shared" si="1"/>
        <v>-3.3957716683306126E-2</v>
      </c>
      <c r="N54" s="2">
        <f t="shared" si="2"/>
        <v>3679.760000000002</v>
      </c>
      <c r="O54" s="6">
        <f t="shared" si="3"/>
        <v>1.0644339771314504</v>
      </c>
    </row>
    <row r="55" spans="1:15" x14ac:dyDescent="0.2">
      <c r="A55" t="s">
        <v>11</v>
      </c>
      <c r="B55" t="s">
        <v>12</v>
      </c>
      <c r="C55" t="s">
        <v>13</v>
      </c>
      <c r="D55" t="s">
        <v>14</v>
      </c>
      <c r="E55" t="s">
        <v>15</v>
      </c>
      <c r="F55" s="1">
        <v>45536</v>
      </c>
      <c r="G55" t="s">
        <v>21</v>
      </c>
      <c r="H55" s="2">
        <v>94941.9</v>
      </c>
      <c r="I55" s="2">
        <v>97298.54</v>
      </c>
      <c r="J55" s="2">
        <v>93825.27</v>
      </c>
      <c r="K55" s="2">
        <v>96454.96</v>
      </c>
      <c r="L55" s="2">
        <f t="shared" si="0"/>
        <v>2356.6399999999994</v>
      </c>
      <c r="M55" s="4">
        <f t="shared" si="1"/>
        <v>2.4821917404222998E-2</v>
      </c>
      <c r="N55" s="2">
        <f t="shared" si="2"/>
        <v>-3473.2699999999895</v>
      </c>
      <c r="O55" s="6">
        <f t="shared" si="3"/>
        <v>0.96430295870832194</v>
      </c>
    </row>
    <row r="56" spans="1:15" x14ac:dyDescent="0.2">
      <c r="A56" t="s">
        <v>11</v>
      </c>
      <c r="B56" t="s">
        <v>12</v>
      </c>
      <c r="C56" t="s">
        <v>13</v>
      </c>
      <c r="D56" t="s">
        <v>14</v>
      </c>
      <c r="E56" t="s">
        <v>15</v>
      </c>
      <c r="F56" s="1">
        <v>45566</v>
      </c>
      <c r="G56" t="s">
        <v>16</v>
      </c>
      <c r="H56" s="2">
        <v>537089.14</v>
      </c>
      <c r="I56" s="2">
        <v>549417.59</v>
      </c>
      <c r="J56" s="2">
        <v>545851.88</v>
      </c>
      <c r="K56" s="2">
        <v>544108.36</v>
      </c>
      <c r="L56" s="2">
        <f t="shared" si="0"/>
        <v>12328.449999999953</v>
      </c>
      <c r="M56" s="4">
        <f t="shared" si="1"/>
        <v>2.2954197137555143E-2</v>
      </c>
      <c r="N56" s="2">
        <f t="shared" si="2"/>
        <v>-3565.7099999999627</v>
      </c>
      <c r="O56" s="6">
        <f t="shared" si="3"/>
        <v>0.99351001849067122</v>
      </c>
    </row>
    <row r="57" spans="1:15" x14ac:dyDescent="0.2">
      <c r="A57" t="s">
        <v>11</v>
      </c>
      <c r="B57" t="s">
        <v>12</v>
      </c>
      <c r="C57" t="s">
        <v>13</v>
      </c>
      <c r="D57" t="s">
        <v>14</v>
      </c>
      <c r="E57" t="s">
        <v>15</v>
      </c>
      <c r="F57" s="1">
        <v>45566</v>
      </c>
      <c r="G57" t="s">
        <v>17</v>
      </c>
      <c r="H57" s="2">
        <v>424553.65</v>
      </c>
      <c r="I57" s="2">
        <v>434834.86</v>
      </c>
      <c r="J57" s="2">
        <v>424811.36</v>
      </c>
      <c r="K57" s="2">
        <v>426744.51</v>
      </c>
      <c r="L57" s="2">
        <f t="shared" si="0"/>
        <v>10281.209999999963</v>
      </c>
      <c r="M57" s="4">
        <f t="shared" si="1"/>
        <v>2.4216515392106421E-2</v>
      </c>
      <c r="N57" s="2">
        <f t="shared" si="2"/>
        <v>-10023.5</v>
      </c>
      <c r="O57" s="6">
        <f t="shared" si="3"/>
        <v>0.97694872025669699</v>
      </c>
    </row>
    <row r="58" spans="1:15" x14ac:dyDescent="0.2">
      <c r="A58" t="s">
        <v>11</v>
      </c>
      <c r="B58" t="s">
        <v>12</v>
      </c>
      <c r="C58" t="s">
        <v>13</v>
      </c>
      <c r="D58" t="s">
        <v>14</v>
      </c>
      <c r="E58" t="s">
        <v>15</v>
      </c>
      <c r="F58" s="1">
        <v>45566</v>
      </c>
      <c r="G58" t="s">
        <v>18</v>
      </c>
      <c r="H58" s="2">
        <v>355108.36</v>
      </c>
      <c r="I58" s="2">
        <v>348800.59</v>
      </c>
      <c r="J58" s="2">
        <v>344647.85</v>
      </c>
      <c r="K58" s="2">
        <v>348909.63</v>
      </c>
      <c r="L58" s="2">
        <f t="shared" si="0"/>
        <v>-6307.7699999999604</v>
      </c>
      <c r="M58" s="4">
        <f t="shared" si="1"/>
        <v>-1.7762944246088604E-2</v>
      </c>
      <c r="N58" s="2">
        <f t="shared" si="2"/>
        <v>-4152.7400000000489</v>
      </c>
      <c r="O58" s="6">
        <f t="shared" si="3"/>
        <v>0.98809422885437193</v>
      </c>
    </row>
    <row r="59" spans="1:15" x14ac:dyDescent="0.2">
      <c r="A59" t="s">
        <v>11</v>
      </c>
      <c r="B59" t="s">
        <v>12</v>
      </c>
      <c r="C59" t="s">
        <v>13</v>
      </c>
      <c r="D59" t="s">
        <v>14</v>
      </c>
      <c r="E59" t="s">
        <v>15</v>
      </c>
      <c r="F59" s="1">
        <v>45566</v>
      </c>
      <c r="G59" t="s">
        <v>19</v>
      </c>
      <c r="H59" s="2">
        <v>258241.88</v>
      </c>
      <c r="I59" s="2">
        <v>266087.89</v>
      </c>
      <c r="J59" s="2">
        <v>250940.82</v>
      </c>
      <c r="K59" s="2">
        <v>264949.21999999997</v>
      </c>
      <c r="L59" s="2">
        <f t="shared" si="0"/>
        <v>7846.0100000000093</v>
      </c>
      <c r="M59" s="4">
        <f t="shared" si="1"/>
        <v>3.0382407377145836E-2</v>
      </c>
      <c r="N59" s="2">
        <f t="shared" si="2"/>
        <v>-15147.070000000007</v>
      </c>
      <c r="O59" s="6">
        <f t="shared" si="3"/>
        <v>0.94307493663090036</v>
      </c>
    </row>
    <row r="60" spans="1:15" x14ac:dyDescent="0.2">
      <c r="A60" t="s">
        <v>11</v>
      </c>
      <c r="B60" t="s">
        <v>12</v>
      </c>
      <c r="C60" t="s">
        <v>13</v>
      </c>
      <c r="D60" t="s">
        <v>14</v>
      </c>
      <c r="E60" t="s">
        <v>15</v>
      </c>
      <c r="F60" s="1">
        <v>45566</v>
      </c>
      <c r="G60" t="s">
        <v>20</v>
      </c>
      <c r="H60" s="2">
        <v>59930.9</v>
      </c>
      <c r="I60" s="2">
        <v>61846.04</v>
      </c>
      <c r="J60" s="2">
        <v>61029.37</v>
      </c>
      <c r="K60" s="2">
        <v>60878.8</v>
      </c>
      <c r="L60" s="2">
        <f t="shared" si="0"/>
        <v>1915.1399999999994</v>
      </c>
      <c r="M60" s="4">
        <f t="shared" si="1"/>
        <v>3.1955802432468046E-2</v>
      </c>
      <c r="N60" s="2">
        <f t="shared" si="2"/>
        <v>-816.66999999999825</v>
      </c>
      <c r="O60" s="6">
        <f t="shared" si="3"/>
        <v>0.98679511250841612</v>
      </c>
    </row>
    <row r="61" spans="1:15" x14ac:dyDescent="0.2">
      <c r="A61" t="s">
        <v>11</v>
      </c>
      <c r="B61" t="s">
        <v>12</v>
      </c>
      <c r="C61" t="s">
        <v>13</v>
      </c>
      <c r="D61" t="s">
        <v>14</v>
      </c>
      <c r="E61" t="s">
        <v>15</v>
      </c>
      <c r="F61" s="1">
        <v>45566</v>
      </c>
      <c r="G61" t="s">
        <v>21</v>
      </c>
      <c r="H61" s="2">
        <v>95161.94</v>
      </c>
      <c r="I61" s="2">
        <v>96512.35</v>
      </c>
      <c r="J61" s="2">
        <v>95151.78</v>
      </c>
      <c r="K61" s="2">
        <v>96208.22</v>
      </c>
      <c r="L61" s="2">
        <f t="shared" si="0"/>
        <v>1350.4100000000035</v>
      </c>
      <c r="M61" s="4">
        <f t="shared" si="1"/>
        <v>1.4190652271275717E-2</v>
      </c>
      <c r="N61" s="2">
        <f t="shared" si="2"/>
        <v>-1360.570000000007</v>
      </c>
      <c r="O61" s="6">
        <f t="shared" si="3"/>
        <v>0.98590263318632276</v>
      </c>
    </row>
    <row r="62" spans="1:15" x14ac:dyDescent="0.2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 s="1">
        <v>45597</v>
      </c>
      <c r="G62" t="s">
        <v>16</v>
      </c>
      <c r="H62" s="2">
        <v>562052.06000000006</v>
      </c>
      <c r="I62" s="2">
        <v>558621.54</v>
      </c>
      <c r="J62" s="2">
        <v>564778.72</v>
      </c>
      <c r="K62" s="2">
        <v>562707.27</v>
      </c>
      <c r="L62" s="2">
        <f t="shared" si="0"/>
        <v>-3430.5200000000186</v>
      </c>
      <c r="M62" s="4">
        <f t="shared" si="1"/>
        <v>-6.1035627197950637E-3</v>
      </c>
      <c r="N62" s="2">
        <f t="shared" si="2"/>
        <v>6157.1799999999348</v>
      </c>
      <c r="O62" s="6">
        <f t="shared" si="3"/>
        <v>1.0110220955676001</v>
      </c>
    </row>
    <row r="63" spans="1:15" x14ac:dyDescent="0.2">
      <c r="A63" t="s">
        <v>11</v>
      </c>
      <c r="B63" t="s">
        <v>12</v>
      </c>
      <c r="C63" t="s">
        <v>13</v>
      </c>
      <c r="D63" t="s">
        <v>14</v>
      </c>
      <c r="E63" t="s">
        <v>15</v>
      </c>
      <c r="F63" s="1">
        <v>45597</v>
      </c>
      <c r="G63" t="s">
        <v>17</v>
      </c>
      <c r="H63" s="2">
        <v>425276.98</v>
      </c>
      <c r="I63" s="2">
        <v>411582.33</v>
      </c>
      <c r="J63" s="2">
        <v>413153.7</v>
      </c>
      <c r="K63" s="2">
        <v>418677.56</v>
      </c>
      <c r="L63" s="2">
        <f t="shared" si="0"/>
        <v>-13694.649999999965</v>
      </c>
      <c r="M63" s="4">
        <f t="shared" si="1"/>
        <v>-3.2201719453519365E-2</v>
      </c>
      <c r="N63" s="2">
        <f t="shared" si="2"/>
        <v>1571.3699999999953</v>
      </c>
      <c r="O63" s="6">
        <f t="shared" si="3"/>
        <v>1.003817875271759</v>
      </c>
    </row>
    <row r="64" spans="1:15" x14ac:dyDescent="0.2">
      <c r="A64" t="s">
        <v>11</v>
      </c>
      <c r="B64" t="s">
        <v>12</v>
      </c>
      <c r="C64" t="s">
        <v>13</v>
      </c>
      <c r="D64" t="s">
        <v>14</v>
      </c>
      <c r="E64" t="s">
        <v>15</v>
      </c>
      <c r="F64" s="1">
        <v>45597</v>
      </c>
      <c r="G64" t="s">
        <v>18</v>
      </c>
      <c r="H64" s="2">
        <v>333564.59999999998</v>
      </c>
      <c r="I64" s="2">
        <v>344000.08</v>
      </c>
      <c r="J64" s="2">
        <v>329431.42</v>
      </c>
      <c r="K64" s="2">
        <v>344671.06</v>
      </c>
      <c r="L64" s="2">
        <f t="shared" si="0"/>
        <v>10435.48000000004</v>
      </c>
      <c r="M64" s="4">
        <f t="shared" si="1"/>
        <v>3.128473465109919E-2</v>
      </c>
      <c r="N64" s="2">
        <f t="shared" si="2"/>
        <v>-14568.660000000033</v>
      </c>
      <c r="O64" s="6">
        <f t="shared" si="3"/>
        <v>0.95764925403505707</v>
      </c>
    </row>
    <row r="65" spans="1:15" x14ac:dyDescent="0.2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 s="1">
        <v>45597</v>
      </c>
      <c r="G65" t="s">
        <v>19</v>
      </c>
      <c r="H65" s="2">
        <v>261792.25</v>
      </c>
      <c r="I65" s="2">
        <v>265816.57</v>
      </c>
      <c r="J65" s="2">
        <v>267079.61</v>
      </c>
      <c r="K65" s="2">
        <v>267897.05</v>
      </c>
      <c r="L65" s="2">
        <f t="shared" si="0"/>
        <v>4024.320000000007</v>
      </c>
      <c r="M65" s="4">
        <f t="shared" si="1"/>
        <v>1.5372189207281756E-2</v>
      </c>
      <c r="N65" s="2">
        <f t="shared" si="2"/>
        <v>1263.039999999979</v>
      </c>
      <c r="O65" s="6">
        <f t="shared" si="3"/>
        <v>1.0047515472793889</v>
      </c>
    </row>
    <row r="66" spans="1:15" x14ac:dyDescent="0.2">
      <c r="A66" t="s">
        <v>11</v>
      </c>
      <c r="B66" t="s">
        <v>12</v>
      </c>
      <c r="C66" t="s">
        <v>13</v>
      </c>
      <c r="D66" t="s">
        <v>14</v>
      </c>
      <c r="E66" t="s">
        <v>15</v>
      </c>
      <c r="F66" s="1">
        <v>45597</v>
      </c>
      <c r="G66" t="s">
        <v>20</v>
      </c>
      <c r="H66" s="2">
        <v>58896.08</v>
      </c>
      <c r="I66" s="2">
        <v>57526.720000000001</v>
      </c>
      <c r="J66" s="2">
        <v>57145.65</v>
      </c>
      <c r="K66" s="2">
        <v>57829.93</v>
      </c>
      <c r="L66" s="2">
        <f t="shared" ref="L66:L129" si="4">I66-H66</f>
        <v>-1369.3600000000006</v>
      </c>
      <c r="M66" s="4">
        <f t="shared" ref="M66:M129" si="5">L66/H66</f>
        <v>-2.3250443832594642E-2</v>
      </c>
      <c r="N66" s="2">
        <f t="shared" ref="N66:N129" si="6">J66-I66</f>
        <v>-381.06999999999971</v>
      </c>
      <c r="O66" s="6">
        <f t="shared" ref="O66:O129" si="7">J66/I66</f>
        <v>0.99337577390124099</v>
      </c>
    </row>
    <row r="67" spans="1:15" x14ac:dyDescent="0.2">
      <c r="A67" t="s">
        <v>11</v>
      </c>
      <c r="B67" t="s">
        <v>12</v>
      </c>
      <c r="C67" t="s">
        <v>13</v>
      </c>
      <c r="D67" t="s">
        <v>14</v>
      </c>
      <c r="E67" t="s">
        <v>15</v>
      </c>
      <c r="F67" s="1">
        <v>45597</v>
      </c>
      <c r="G67" t="s">
        <v>21</v>
      </c>
      <c r="H67" s="2">
        <v>94210.559999999998</v>
      </c>
      <c r="I67" s="2">
        <v>93984.56</v>
      </c>
      <c r="J67" s="2">
        <v>91476.06</v>
      </c>
      <c r="K67" s="2">
        <v>94120.01</v>
      </c>
      <c r="L67" s="2">
        <f t="shared" si="4"/>
        <v>-226</v>
      </c>
      <c r="M67" s="4">
        <f t="shared" si="5"/>
        <v>-2.3988818238634821E-3</v>
      </c>
      <c r="N67" s="2">
        <f t="shared" si="6"/>
        <v>-2508.5</v>
      </c>
      <c r="O67" s="6">
        <f t="shared" si="7"/>
        <v>0.97330944572172284</v>
      </c>
    </row>
    <row r="68" spans="1:15" x14ac:dyDescent="0.2">
      <c r="A68" t="s">
        <v>11</v>
      </c>
      <c r="B68" t="s">
        <v>12</v>
      </c>
      <c r="C68" t="s">
        <v>13</v>
      </c>
      <c r="D68" t="s">
        <v>14</v>
      </c>
      <c r="E68" t="s">
        <v>15</v>
      </c>
      <c r="F68" s="1">
        <v>45627</v>
      </c>
      <c r="G68" t="s">
        <v>16</v>
      </c>
      <c r="H68" s="2">
        <v>554636.62</v>
      </c>
      <c r="I68" s="2">
        <v>561463.56999999995</v>
      </c>
      <c r="J68" s="2">
        <v>570835.25</v>
      </c>
      <c r="K68" s="2">
        <v>557137.9</v>
      </c>
      <c r="L68" s="2">
        <f t="shared" si="4"/>
        <v>6826.9499999999534</v>
      </c>
      <c r="M68" s="4">
        <f t="shared" si="5"/>
        <v>1.2308869904767475E-2</v>
      </c>
      <c r="N68" s="2">
        <f t="shared" si="6"/>
        <v>9371.6800000000512</v>
      </c>
      <c r="O68" s="6">
        <f t="shared" si="7"/>
        <v>1.0166915192734589</v>
      </c>
    </row>
    <row r="69" spans="1:15" x14ac:dyDescent="0.2">
      <c r="A69" t="s">
        <v>11</v>
      </c>
      <c r="B69" t="s">
        <v>12</v>
      </c>
      <c r="C69" t="s">
        <v>13</v>
      </c>
      <c r="D69" t="s">
        <v>14</v>
      </c>
      <c r="E69" t="s">
        <v>15</v>
      </c>
      <c r="F69" s="1">
        <v>45627</v>
      </c>
      <c r="G69" t="s">
        <v>17</v>
      </c>
      <c r="H69" s="2">
        <v>456922.56</v>
      </c>
      <c r="I69" s="2">
        <v>471107.35</v>
      </c>
      <c r="J69" s="2">
        <v>461562.71</v>
      </c>
      <c r="K69" s="2">
        <v>461749.42</v>
      </c>
      <c r="L69" s="2">
        <f t="shared" si="4"/>
        <v>14184.789999999979</v>
      </c>
      <c r="M69" s="4">
        <f t="shared" si="5"/>
        <v>3.1044188319351049E-2</v>
      </c>
      <c r="N69" s="2">
        <f t="shared" si="6"/>
        <v>-9544.6399999999558</v>
      </c>
      <c r="O69" s="6">
        <f t="shared" si="7"/>
        <v>0.97973998919779126</v>
      </c>
    </row>
    <row r="70" spans="1:15" x14ac:dyDescent="0.2">
      <c r="A70" t="s">
        <v>11</v>
      </c>
      <c r="B70" t="s">
        <v>12</v>
      </c>
      <c r="C70" t="s">
        <v>13</v>
      </c>
      <c r="D70" t="s">
        <v>14</v>
      </c>
      <c r="E70" t="s">
        <v>15</v>
      </c>
      <c r="F70" s="1">
        <v>45627</v>
      </c>
      <c r="G70" t="s">
        <v>18</v>
      </c>
      <c r="H70" s="2">
        <v>345650.74</v>
      </c>
      <c r="I70" s="2">
        <v>345117.49</v>
      </c>
      <c r="J70" s="2">
        <v>355736.1</v>
      </c>
      <c r="K70" s="2">
        <v>348994.54</v>
      </c>
      <c r="L70" s="2">
        <f t="shared" si="4"/>
        <v>-533.25</v>
      </c>
      <c r="M70" s="4">
        <f t="shared" si="5"/>
        <v>-1.5427422490112419E-3</v>
      </c>
      <c r="N70" s="2">
        <f t="shared" si="6"/>
        <v>10618.609999999986</v>
      </c>
      <c r="O70" s="6">
        <f t="shared" si="7"/>
        <v>1.0307681016108456</v>
      </c>
    </row>
    <row r="71" spans="1:15" x14ac:dyDescent="0.2">
      <c r="A71" t="s">
        <v>11</v>
      </c>
      <c r="B71" t="s">
        <v>12</v>
      </c>
      <c r="C71" t="s">
        <v>13</v>
      </c>
      <c r="D71" t="s">
        <v>14</v>
      </c>
      <c r="E71" t="s">
        <v>15</v>
      </c>
      <c r="F71" s="1">
        <v>45627</v>
      </c>
      <c r="G71" t="s">
        <v>19</v>
      </c>
      <c r="H71" s="2">
        <v>256724.91</v>
      </c>
      <c r="I71" s="2">
        <v>255327.71</v>
      </c>
      <c r="J71" s="2">
        <v>255112.42</v>
      </c>
      <c r="K71" s="2">
        <v>257520.15</v>
      </c>
      <c r="L71" s="2">
        <f t="shared" si="4"/>
        <v>-1397.2000000000116</v>
      </c>
      <c r="M71" s="4">
        <f t="shared" si="5"/>
        <v>-5.4424013626103197E-3</v>
      </c>
      <c r="N71" s="2">
        <f t="shared" si="6"/>
        <v>-215.28999999997905</v>
      </c>
      <c r="O71" s="6">
        <f t="shared" si="7"/>
        <v>0.99915680910622673</v>
      </c>
    </row>
    <row r="72" spans="1:15" x14ac:dyDescent="0.2">
      <c r="A72" t="s">
        <v>11</v>
      </c>
      <c r="B72" t="s">
        <v>12</v>
      </c>
      <c r="C72" t="s">
        <v>13</v>
      </c>
      <c r="D72" t="s">
        <v>14</v>
      </c>
      <c r="E72" t="s">
        <v>15</v>
      </c>
      <c r="F72" s="1">
        <v>45627</v>
      </c>
      <c r="G72" t="s">
        <v>20</v>
      </c>
      <c r="H72" s="2">
        <v>62620.91</v>
      </c>
      <c r="I72" s="2">
        <v>64701.36</v>
      </c>
      <c r="J72" s="2">
        <v>61516.74</v>
      </c>
      <c r="K72" s="2">
        <v>63346.69</v>
      </c>
      <c r="L72" s="2">
        <f t="shared" si="4"/>
        <v>2080.4499999999971</v>
      </c>
      <c r="M72" s="4">
        <f t="shared" si="5"/>
        <v>3.3222928251920913E-2</v>
      </c>
      <c r="N72" s="2">
        <f t="shared" si="6"/>
        <v>-3184.6200000000026</v>
      </c>
      <c r="O72" s="6">
        <f t="shared" si="7"/>
        <v>0.95077970540341039</v>
      </c>
    </row>
    <row r="73" spans="1:15" x14ac:dyDescent="0.2">
      <c r="A73" t="s">
        <v>11</v>
      </c>
      <c r="B73" t="s">
        <v>12</v>
      </c>
      <c r="C73" t="s">
        <v>13</v>
      </c>
      <c r="D73" t="s">
        <v>14</v>
      </c>
      <c r="E73" t="s">
        <v>15</v>
      </c>
      <c r="F73" s="1">
        <v>45627</v>
      </c>
      <c r="G73" t="s">
        <v>21</v>
      </c>
      <c r="H73" s="2">
        <v>93596.97</v>
      </c>
      <c r="I73" s="2">
        <v>90345.17</v>
      </c>
      <c r="J73" s="2">
        <v>94186.37</v>
      </c>
      <c r="K73" s="2">
        <v>92964.99</v>
      </c>
      <c r="L73" s="2">
        <f t="shared" si="4"/>
        <v>-3251.8000000000029</v>
      </c>
      <c r="M73" s="4">
        <f t="shared" si="5"/>
        <v>-3.4742577671050705E-2</v>
      </c>
      <c r="N73" s="2">
        <f t="shared" si="6"/>
        <v>3841.1999999999971</v>
      </c>
      <c r="O73" s="6">
        <f t="shared" si="7"/>
        <v>1.0425169380942003</v>
      </c>
    </row>
    <row r="74" spans="1:15" x14ac:dyDescent="0.2">
      <c r="A74" t="s">
        <v>11</v>
      </c>
      <c r="B74" t="s">
        <v>12</v>
      </c>
      <c r="C74" t="s">
        <v>13</v>
      </c>
      <c r="D74" t="s">
        <v>14</v>
      </c>
      <c r="E74" t="s">
        <v>15</v>
      </c>
      <c r="F74" s="1">
        <v>45658</v>
      </c>
      <c r="G74" t="s">
        <v>16</v>
      </c>
      <c r="H74" s="2">
        <v>525024.01</v>
      </c>
      <c r="I74" s="2">
        <v>524418.84</v>
      </c>
      <c r="J74" s="2">
        <v>539171.92000000004</v>
      </c>
      <c r="K74" s="2">
        <v>518599.46</v>
      </c>
      <c r="L74" s="2">
        <f t="shared" si="4"/>
        <v>-605.17000000004191</v>
      </c>
      <c r="M74" s="4">
        <f t="shared" si="5"/>
        <v>-1.152652047284546E-3</v>
      </c>
      <c r="N74" s="2">
        <f t="shared" si="6"/>
        <v>14753.080000000075</v>
      </c>
      <c r="O74" s="6">
        <f t="shared" si="7"/>
        <v>1.0281322463548412</v>
      </c>
    </row>
    <row r="75" spans="1:15" x14ac:dyDescent="0.2">
      <c r="A75" t="s">
        <v>11</v>
      </c>
      <c r="B75" t="s">
        <v>12</v>
      </c>
      <c r="C75" t="s">
        <v>13</v>
      </c>
      <c r="D75" t="s">
        <v>14</v>
      </c>
      <c r="E75" t="s">
        <v>15</v>
      </c>
      <c r="F75" s="1">
        <v>45658</v>
      </c>
      <c r="G75" t="s">
        <v>17</v>
      </c>
      <c r="H75" s="2">
        <v>427920.16</v>
      </c>
      <c r="I75" s="2">
        <v>421359.52</v>
      </c>
      <c r="J75" s="2">
        <v>417268.53</v>
      </c>
      <c r="K75" s="2">
        <v>430651.04</v>
      </c>
      <c r="L75" s="2">
        <f t="shared" si="4"/>
        <v>-6560.6399999999558</v>
      </c>
      <c r="M75" s="4">
        <f t="shared" si="5"/>
        <v>-1.5331458092556229E-2</v>
      </c>
      <c r="N75" s="2">
        <f t="shared" si="6"/>
        <v>-4090.9899999999907</v>
      </c>
      <c r="O75" s="6">
        <f t="shared" si="7"/>
        <v>0.99029097526976495</v>
      </c>
    </row>
    <row r="76" spans="1:15" x14ac:dyDescent="0.2">
      <c r="A76" t="s">
        <v>11</v>
      </c>
      <c r="B76" t="s">
        <v>12</v>
      </c>
      <c r="C76" t="s">
        <v>13</v>
      </c>
      <c r="D76" t="s">
        <v>14</v>
      </c>
      <c r="E76" t="s">
        <v>15</v>
      </c>
      <c r="F76" s="1">
        <v>45658</v>
      </c>
      <c r="G76" t="s">
        <v>18</v>
      </c>
      <c r="H76" s="2">
        <v>318166.36</v>
      </c>
      <c r="I76" s="2">
        <v>310211.42</v>
      </c>
      <c r="J76" s="2">
        <v>310004.67</v>
      </c>
      <c r="K76" s="2">
        <v>310004</v>
      </c>
      <c r="L76" s="2">
        <f t="shared" si="4"/>
        <v>-7954.9400000000023</v>
      </c>
      <c r="M76" s="4">
        <f t="shared" si="5"/>
        <v>-2.5002454690684468E-2</v>
      </c>
      <c r="N76" s="2">
        <f t="shared" si="6"/>
        <v>-206.75</v>
      </c>
      <c r="O76" s="6">
        <f t="shared" si="7"/>
        <v>0.99933351905613277</v>
      </c>
    </row>
    <row r="77" spans="1:15" x14ac:dyDescent="0.2">
      <c r="A77" t="s">
        <v>11</v>
      </c>
      <c r="B77" t="s">
        <v>12</v>
      </c>
      <c r="C77" t="s">
        <v>13</v>
      </c>
      <c r="D77" t="s">
        <v>14</v>
      </c>
      <c r="E77" t="s">
        <v>15</v>
      </c>
      <c r="F77" s="1">
        <v>45658</v>
      </c>
      <c r="G77" t="s">
        <v>19</v>
      </c>
      <c r="H77" s="2">
        <v>244368.41</v>
      </c>
      <c r="I77" s="2">
        <v>251106.4</v>
      </c>
      <c r="J77" s="2">
        <v>241341.96</v>
      </c>
      <c r="K77" s="2">
        <v>246410.19</v>
      </c>
      <c r="L77" s="2">
        <f t="shared" si="4"/>
        <v>6737.9899999999907</v>
      </c>
      <c r="M77" s="4">
        <f t="shared" si="5"/>
        <v>2.7573081152346943E-2</v>
      </c>
      <c r="N77" s="2">
        <f t="shared" si="6"/>
        <v>-9764.4400000000023</v>
      </c>
      <c r="O77" s="6">
        <f t="shared" si="7"/>
        <v>0.96111433241048416</v>
      </c>
    </row>
    <row r="78" spans="1:15" x14ac:dyDescent="0.2">
      <c r="A78" t="s">
        <v>11</v>
      </c>
      <c r="B78" t="s">
        <v>12</v>
      </c>
      <c r="C78" t="s">
        <v>13</v>
      </c>
      <c r="D78" t="s">
        <v>14</v>
      </c>
      <c r="E78" t="s">
        <v>15</v>
      </c>
      <c r="F78" s="1">
        <v>45658</v>
      </c>
      <c r="G78" t="s">
        <v>20</v>
      </c>
      <c r="H78" s="2">
        <v>56834.63</v>
      </c>
      <c r="I78" s="2">
        <v>58009.33</v>
      </c>
      <c r="J78" s="2">
        <v>56199.79</v>
      </c>
      <c r="K78" s="2">
        <v>57270.21</v>
      </c>
      <c r="L78" s="2">
        <f t="shared" si="4"/>
        <v>1174.7000000000044</v>
      </c>
      <c r="M78" s="4">
        <f t="shared" si="5"/>
        <v>2.0668736648765101E-2</v>
      </c>
      <c r="N78" s="2">
        <f t="shared" si="6"/>
        <v>-1809.5400000000009</v>
      </c>
      <c r="O78" s="6">
        <f t="shared" si="7"/>
        <v>0.96880605240570783</v>
      </c>
    </row>
    <row r="79" spans="1:15" x14ac:dyDescent="0.2">
      <c r="A79" t="s">
        <v>11</v>
      </c>
      <c r="B79" t="s">
        <v>12</v>
      </c>
      <c r="C79" t="s">
        <v>13</v>
      </c>
      <c r="D79" t="s">
        <v>14</v>
      </c>
      <c r="E79" t="s">
        <v>15</v>
      </c>
      <c r="F79" s="1">
        <v>45658</v>
      </c>
      <c r="G79" t="s">
        <v>21</v>
      </c>
      <c r="H79" s="2">
        <v>87587.19</v>
      </c>
      <c r="I79" s="2">
        <v>88127.11</v>
      </c>
      <c r="J79" s="2">
        <v>86907.51</v>
      </c>
      <c r="K79" s="2">
        <v>87716.56</v>
      </c>
      <c r="L79" s="2">
        <f t="shared" si="4"/>
        <v>539.91999999999825</v>
      </c>
      <c r="M79" s="4">
        <f t="shared" si="5"/>
        <v>6.1643717534493143E-3</v>
      </c>
      <c r="N79" s="2">
        <f t="shared" si="6"/>
        <v>-1219.6000000000058</v>
      </c>
      <c r="O79" s="6">
        <f t="shared" si="7"/>
        <v>0.98616089872911972</v>
      </c>
    </row>
    <row r="80" spans="1:15" x14ac:dyDescent="0.2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 s="1">
        <v>45689</v>
      </c>
      <c r="G80" t="s">
        <v>16</v>
      </c>
      <c r="H80" s="2">
        <v>540976.44999999995</v>
      </c>
      <c r="I80" s="2">
        <v>539386.9</v>
      </c>
      <c r="J80" s="2">
        <v>547734.56000000006</v>
      </c>
      <c r="K80" s="2">
        <v>534299.28</v>
      </c>
      <c r="L80" s="2">
        <f t="shared" si="4"/>
        <v>-1589.5499999999302</v>
      </c>
      <c r="M80" s="4">
        <f t="shared" si="5"/>
        <v>-2.938297961029413E-3</v>
      </c>
      <c r="N80" s="2">
        <f t="shared" si="6"/>
        <v>8347.6600000000326</v>
      </c>
      <c r="O80" s="6">
        <f t="shared" si="7"/>
        <v>1.0154762008495202</v>
      </c>
    </row>
    <row r="81" spans="1:15" x14ac:dyDescent="0.2">
      <c r="A81" t="s">
        <v>11</v>
      </c>
      <c r="B81" t="s">
        <v>12</v>
      </c>
      <c r="C81" t="s">
        <v>13</v>
      </c>
      <c r="D81" t="s">
        <v>14</v>
      </c>
      <c r="E81" t="s">
        <v>15</v>
      </c>
      <c r="F81" s="1">
        <v>45689</v>
      </c>
      <c r="G81" t="s">
        <v>17</v>
      </c>
      <c r="H81" s="2">
        <v>436083.8</v>
      </c>
      <c r="I81" s="2">
        <v>428932.47</v>
      </c>
      <c r="J81" s="2">
        <v>445937.03</v>
      </c>
      <c r="K81" s="2">
        <v>432316.77</v>
      </c>
      <c r="L81" s="2">
        <f t="shared" si="4"/>
        <v>-7151.3300000000163</v>
      </c>
      <c r="M81" s="4">
        <f t="shared" si="5"/>
        <v>-1.6398981113263131E-2</v>
      </c>
      <c r="N81" s="2">
        <f t="shared" si="6"/>
        <v>17004.560000000056</v>
      </c>
      <c r="O81" s="6">
        <f t="shared" si="7"/>
        <v>1.0396439094480305</v>
      </c>
    </row>
    <row r="82" spans="1:15" x14ac:dyDescent="0.2">
      <c r="A82" t="s">
        <v>11</v>
      </c>
      <c r="B82" t="s">
        <v>12</v>
      </c>
      <c r="C82" t="s">
        <v>13</v>
      </c>
      <c r="D82" t="s">
        <v>14</v>
      </c>
      <c r="E82" t="s">
        <v>15</v>
      </c>
      <c r="F82" s="1">
        <v>45689</v>
      </c>
      <c r="G82" t="s">
        <v>18</v>
      </c>
      <c r="H82" s="2">
        <v>322065.90999999997</v>
      </c>
      <c r="I82" s="2">
        <v>323867.57</v>
      </c>
      <c r="J82" s="2">
        <v>317414.69</v>
      </c>
      <c r="K82" s="2">
        <v>321109.44</v>
      </c>
      <c r="L82" s="2">
        <f t="shared" si="4"/>
        <v>1801.6600000000326</v>
      </c>
      <c r="M82" s="4">
        <f t="shared" si="5"/>
        <v>5.5940723437635257E-3</v>
      </c>
      <c r="N82" s="2">
        <f t="shared" si="6"/>
        <v>-6452.8800000000047</v>
      </c>
      <c r="O82" s="6">
        <f t="shared" si="7"/>
        <v>0.98007555989628725</v>
      </c>
    </row>
    <row r="83" spans="1:15" x14ac:dyDescent="0.2">
      <c r="A83" t="s">
        <v>11</v>
      </c>
      <c r="B83" t="s">
        <v>12</v>
      </c>
      <c r="C83" t="s">
        <v>13</v>
      </c>
      <c r="D83" t="s">
        <v>14</v>
      </c>
      <c r="E83" t="s">
        <v>15</v>
      </c>
      <c r="F83" s="1">
        <v>45689</v>
      </c>
      <c r="G83" t="s">
        <v>19</v>
      </c>
      <c r="H83" s="2">
        <v>234582.26</v>
      </c>
      <c r="I83" s="2">
        <v>241817.97</v>
      </c>
      <c r="J83" s="2">
        <v>236441.18</v>
      </c>
      <c r="K83" s="2">
        <v>242526.63</v>
      </c>
      <c r="L83" s="2">
        <f t="shared" si="4"/>
        <v>7235.7099999999919</v>
      </c>
      <c r="M83" s="4">
        <f t="shared" si="5"/>
        <v>3.0845086069168196E-2</v>
      </c>
      <c r="N83" s="2">
        <f t="shared" si="6"/>
        <v>-5376.7900000000081</v>
      </c>
      <c r="O83" s="6">
        <f t="shared" si="7"/>
        <v>0.97776513465893367</v>
      </c>
    </row>
    <row r="84" spans="1:15" x14ac:dyDescent="0.2">
      <c r="A84" t="s">
        <v>11</v>
      </c>
      <c r="B84" t="s">
        <v>12</v>
      </c>
      <c r="C84" t="s">
        <v>13</v>
      </c>
      <c r="D84" t="s">
        <v>14</v>
      </c>
      <c r="E84" t="s">
        <v>15</v>
      </c>
      <c r="F84" s="1">
        <v>45689</v>
      </c>
      <c r="G84" t="s">
        <v>20</v>
      </c>
      <c r="H84" s="2">
        <v>56103.54</v>
      </c>
      <c r="I84" s="2">
        <v>54432.49</v>
      </c>
      <c r="J84" s="2">
        <v>55874.11</v>
      </c>
      <c r="K84" s="2">
        <v>54648.34</v>
      </c>
      <c r="L84" s="2">
        <f t="shared" si="4"/>
        <v>-1671.0500000000029</v>
      </c>
      <c r="M84" s="4">
        <f t="shared" si="5"/>
        <v>-2.9785108034181138E-2</v>
      </c>
      <c r="N84" s="2">
        <f t="shared" si="6"/>
        <v>1441.6200000000026</v>
      </c>
      <c r="O84" s="6">
        <f t="shared" si="7"/>
        <v>1.026484549944344</v>
      </c>
    </row>
    <row r="85" spans="1:15" x14ac:dyDescent="0.2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s="1">
        <v>45689</v>
      </c>
      <c r="G85" t="s">
        <v>21</v>
      </c>
      <c r="H85" s="2">
        <v>92182.95</v>
      </c>
      <c r="I85" s="2">
        <v>91655.98</v>
      </c>
      <c r="J85" s="2">
        <v>93714.1</v>
      </c>
      <c r="K85" s="2">
        <v>92759.11</v>
      </c>
      <c r="L85" s="2">
        <f t="shared" si="4"/>
        <v>-526.97000000000116</v>
      </c>
      <c r="M85" s="4">
        <f t="shared" si="5"/>
        <v>-5.7165668922506945E-3</v>
      </c>
      <c r="N85" s="2">
        <f t="shared" si="6"/>
        <v>2058.1200000000099</v>
      </c>
      <c r="O85" s="6">
        <f t="shared" si="7"/>
        <v>1.022454836007427</v>
      </c>
    </row>
    <row r="86" spans="1:15" x14ac:dyDescent="0.2">
      <c r="A86" t="s">
        <v>11</v>
      </c>
      <c r="B86" t="s">
        <v>12</v>
      </c>
      <c r="C86" t="s">
        <v>13</v>
      </c>
      <c r="D86" t="s">
        <v>14</v>
      </c>
      <c r="E86" t="s">
        <v>15</v>
      </c>
      <c r="F86" s="1">
        <v>45717</v>
      </c>
      <c r="G86" t="s">
        <v>16</v>
      </c>
      <c r="H86" s="2">
        <v>541634.81000000006</v>
      </c>
      <c r="I86" s="2">
        <v>547664.18999999994</v>
      </c>
      <c r="J86" s="2">
        <v>551922.49</v>
      </c>
      <c r="K86" s="2">
        <v>553069.6</v>
      </c>
      <c r="L86" s="2">
        <f t="shared" si="4"/>
        <v>6029.3799999998882</v>
      </c>
      <c r="M86" s="4">
        <f t="shared" si="5"/>
        <v>1.1131817764814429E-2</v>
      </c>
      <c r="N86" s="2">
        <f t="shared" si="6"/>
        <v>4258.3000000000466</v>
      </c>
      <c r="O86" s="6">
        <f t="shared" si="7"/>
        <v>1.0077753851315348</v>
      </c>
    </row>
    <row r="87" spans="1:15" x14ac:dyDescent="0.2">
      <c r="A87" t="s">
        <v>11</v>
      </c>
      <c r="B87" t="s">
        <v>12</v>
      </c>
      <c r="C87" t="s">
        <v>13</v>
      </c>
      <c r="D87" t="s">
        <v>14</v>
      </c>
      <c r="E87" t="s">
        <v>15</v>
      </c>
      <c r="F87" s="1">
        <v>45717</v>
      </c>
      <c r="G87" t="s">
        <v>17</v>
      </c>
      <c r="H87" s="2">
        <v>414974.38</v>
      </c>
      <c r="I87" s="2">
        <v>412531.64</v>
      </c>
      <c r="J87" s="2">
        <v>404414.59</v>
      </c>
      <c r="K87" s="2">
        <v>420842.37</v>
      </c>
      <c r="L87" s="2">
        <f t="shared" si="4"/>
        <v>-2442.7399999999907</v>
      </c>
      <c r="M87" s="4">
        <f t="shared" si="5"/>
        <v>-5.8864838836556388E-3</v>
      </c>
      <c r="N87" s="2">
        <f t="shared" si="6"/>
        <v>-8117.0499999999884</v>
      </c>
      <c r="O87" s="6">
        <f t="shared" si="7"/>
        <v>0.98032381225352805</v>
      </c>
    </row>
    <row r="88" spans="1:15" x14ac:dyDescent="0.2">
      <c r="A88" t="s">
        <v>11</v>
      </c>
      <c r="B88" t="s">
        <v>12</v>
      </c>
      <c r="C88" t="s">
        <v>13</v>
      </c>
      <c r="D88" t="s">
        <v>14</v>
      </c>
      <c r="E88" t="s">
        <v>15</v>
      </c>
      <c r="F88" s="1">
        <v>45717</v>
      </c>
      <c r="G88" t="s">
        <v>18</v>
      </c>
      <c r="H88" s="2">
        <v>349103.41</v>
      </c>
      <c r="I88" s="2">
        <v>342729.88</v>
      </c>
      <c r="J88" s="2">
        <v>353519.96</v>
      </c>
      <c r="K88" s="2">
        <v>344151.17</v>
      </c>
      <c r="L88" s="2">
        <f t="shared" si="4"/>
        <v>-6373.5299999999697</v>
      </c>
      <c r="M88" s="4">
        <f t="shared" si="5"/>
        <v>-1.8256854036458624E-2</v>
      </c>
      <c r="N88" s="2">
        <f t="shared" si="6"/>
        <v>10790.080000000016</v>
      </c>
      <c r="O88" s="6">
        <f t="shared" si="7"/>
        <v>1.031482752539697</v>
      </c>
    </row>
    <row r="89" spans="1:15" x14ac:dyDescent="0.2">
      <c r="A89" t="s">
        <v>11</v>
      </c>
      <c r="B89" t="s">
        <v>12</v>
      </c>
      <c r="C89" t="s">
        <v>13</v>
      </c>
      <c r="D89" t="s">
        <v>14</v>
      </c>
      <c r="E89" t="s">
        <v>15</v>
      </c>
      <c r="F89" s="1">
        <v>45717</v>
      </c>
      <c r="G89" t="s">
        <v>19</v>
      </c>
      <c r="H89" s="2">
        <v>249726.78</v>
      </c>
      <c r="I89" s="2">
        <v>252934.68</v>
      </c>
      <c r="J89" s="2">
        <v>252705.28</v>
      </c>
      <c r="K89" s="2">
        <v>253076.02</v>
      </c>
      <c r="L89" s="2">
        <f t="shared" si="4"/>
        <v>3207.8999999999942</v>
      </c>
      <c r="M89" s="4">
        <f t="shared" si="5"/>
        <v>1.2845638741667971E-2</v>
      </c>
      <c r="N89" s="2">
        <f t="shared" si="6"/>
        <v>-229.39999999999418</v>
      </c>
      <c r="O89" s="6">
        <f t="shared" si="7"/>
        <v>0.99909304647350061</v>
      </c>
    </row>
    <row r="90" spans="1:15" x14ac:dyDescent="0.2">
      <c r="A90" t="s">
        <v>11</v>
      </c>
      <c r="B90" t="s">
        <v>12</v>
      </c>
      <c r="C90" t="s">
        <v>13</v>
      </c>
      <c r="D90" t="s">
        <v>14</v>
      </c>
      <c r="E90" t="s">
        <v>15</v>
      </c>
      <c r="F90" s="1">
        <v>45717</v>
      </c>
      <c r="G90" t="s">
        <v>20</v>
      </c>
      <c r="H90" s="2">
        <v>57070.74</v>
      </c>
      <c r="I90" s="2">
        <v>55498.94</v>
      </c>
      <c r="J90" s="2">
        <v>57322.080000000002</v>
      </c>
      <c r="K90" s="2">
        <v>56467.73</v>
      </c>
      <c r="L90" s="2">
        <f t="shared" si="4"/>
        <v>-1571.7999999999956</v>
      </c>
      <c r="M90" s="4">
        <f t="shared" si="5"/>
        <v>-2.7541258445220717E-2</v>
      </c>
      <c r="N90" s="2">
        <f t="shared" si="6"/>
        <v>1823.1399999999994</v>
      </c>
      <c r="O90" s="6">
        <f t="shared" si="7"/>
        <v>1.0328499967747131</v>
      </c>
    </row>
    <row r="91" spans="1:15" x14ac:dyDescent="0.2">
      <c r="A91" t="s">
        <v>11</v>
      </c>
      <c r="B91" t="s">
        <v>12</v>
      </c>
      <c r="C91" t="s">
        <v>13</v>
      </c>
      <c r="D91" t="s">
        <v>14</v>
      </c>
      <c r="E91" t="s">
        <v>15</v>
      </c>
      <c r="F91" s="1">
        <v>45717</v>
      </c>
      <c r="G91" t="s">
        <v>21</v>
      </c>
      <c r="H91" s="2">
        <v>89070.33</v>
      </c>
      <c r="I91" s="2">
        <v>90697.55</v>
      </c>
      <c r="J91" s="2">
        <v>90541.52</v>
      </c>
      <c r="K91" s="2">
        <v>90959.5</v>
      </c>
      <c r="L91" s="2">
        <f t="shared" si="4"/>
        <v>1627.2200000000012</v>
      </c>
      <c r="M91" s="4">
        <f t="shared" si="5"/>
        <v>1.8268934223102138E-2</v>
      </c>
      <c r="N91" s="2">
        <f t="shared" si="6"/>
        <v>-156.02999999999884</v>
      </c>
      <c r="O91" s="6">
        <f t="shared" si="7"/>
        <v>0.99827966687082503</v>
      </c>
    </row>
    <row r="92" spans="1:15" x14ac:dyDescent="0.2">
      <c r="A92" t="s">
        <v>11</v>
      </c>
      <c r="B92" t="s">
        <v>12</v>
      </c>
      <c r="C92" t="s">
        <v>13</v>
      </c>
      <c r="D92" t="s">
        <v>14</v>
      </c>
      <c r="E92" t="s">
        <v>15</v>
      </c>
      <c r="F92" s="1">
        <v>45748</v>
      </c>
      <c r="G92" t="s">
        <v>16</v>
      </c>
      <c r="H92" s="2">
        <v>536079.13</v>
      </c>
      <c r="I92" s="2">
        <v>543774.75</v>
      </c>
      <c r="J92" s="2">
        <v>537072.78</v>
      </c>
      <c r="K92" s="2">
        <v>539159.21</v>
      </c>
      <c r="L92" s="2">
        <f t="shared" si="4"/>
        <v>7695.6199999999953</v>
      </c>
      <c r="M92" s="4">
        <f t="shared" si="5"/>
        <v>1.4355380706575903E-2</v>
      </c>
      <c r="N92" s="2">
        <f t="shared" si="6"/>
        <v>-6701.9699999999721</v>
      </c>
      <c r="O92" s="6">
        <f t="shared" si="7"/>
        <v>0.98767509892653171</v>
      </c>
    </row>
    <row r="93" spans="1:15" x14ac:dyDescent="0.2">
      <c r="A93" t="s">
        <v>11</v>
      </c>
      <c r="B93" t="s">
        <v>12</v>
      </c>
      <c r="C93" t="s">
        <v>13</v>
      </c>
      <c r="D93" t="s">
        <v>14</v>
      </c>
      <c r="E93" t="s">
        <v>15</v>
      </c>
      <c r="F93" s="1">
        <v>45748</v>
      </c>
      <c r="G93" t="s">
        <v>17</v>
      </c>
      <c r="H93" s="2">
        <v>443775.09</v>
      </c>
      <c r="I93" s="2">
        <v>455736.18</v>
      </c>
      <c r="J93" s="2">
        <v>445963.5</v>
      </c>
      <c r="K93" s="2">
        <v>453012.87</v>
      </c>
      <c r="L93" s="2">
        <f t="shared" si="4"/>
        <v>11961.089999999967</v>
      </c>
      <c r="M93" s="4">
        <f t="shared" si="5"/>
        <v>2.6953045066139172E-2</v>
      </c>
      <c r="N93" s="2">
        <f t="shared" si="6"/>
        <v>-9772.679999999993</v>
      </c>
      <c r="O93" s="6">
        <f t="shared" si="7"/>
        <v>0.97855627788866795</v>
      </c>
    </row>
    <row r="94" spans="1:15" x14ac:dyDescent="0.2">
      <c r="A94" t="s">
        <v>11</v>
      </c>
      <c r="B94" t="s">
        <v>12</v>
      </c>
      <c r="C94" t="s">
        <v>13</v>
      </c>
      <c r="D94" t="s">
        <v>14</v>
      </c>
      <c r="E94" t="s">
        <v>15</v>
      </c>
      <c r="F94" s="1">
        <v>45748</v>
      </c>
      <c r="G94" t="s">
        <v>18</v>
      </c>
      <c r="H94" s="2">
        <v>352404.59</v>
      </c>
      <c r="I94" s="2">
        <v>341392.01</v>
      </c>
      <c r="J94" s="2">
        <v>342172.76</v>
      </c>
      <c r="K94" s="2">
        <v>341138.72</v>
      </c>
      <c r="L94" s="2">
        <f t="shared" si="4"/>
        <v>-11012.580000000016</v>
      </c>
      <c r="M94" s="4">
        <f t="shared" si="5"/>
        <v>-3.1249819986737447E-2</v>
      </c>
      <c r="N94" s="2">
        <f t="shared" si="6"/>
        <v>780.75</v>
      </c>
      <c r="O94" s="6">
        <f t="shared" si="7"/>
        <v>1.0022869603773095</v>
      </c>
    </row>
    <row r="95" spans="1:15" x14ac:dyDescent="0.2">
      <c r="A95" t="s">
        <v>11</v>
      </c>
      <c r="B95" t="s">
        <v>12</v>
      </c>
      <c r="C95" t="s">
        <v>13</v>
      </c>
      <c r="D95" t="s">
        <v>14</v>
      </c>
      <c r="E95" t="s">
        <v>15</v>
      </c>
      <c r="F95" s="1">
        <v>45748</v>
      </c>
      <c r="G95" t="s">
        <v>19</v>
      </c>
      <c r="H95" s="2">
        <v>243780.93</v>
      </c>
      <c r="I95" s="2">
        <v>237654.32</v>
      </c>
      <c r="J95" s="2">
        <v>238305.66</v>
      </c>
      <c r="K95" s="2">
        <v>239133.1</v>
      </c>
      <c r="L95" s="2">
        <f t="shared" si="4"/>
        <v>-6126.609999999986</v>
      </c>
      <c r="M95" s="4">
        <f t="shared" si="5"/>
        <v>-2.5131621246994119E-2</v>
      </c>
      <c r="N95" s="2">
        <f t="shared" si="6"/>
        <v>651.33999999999651</v>
      </c>
      <c r="O95" s="6">
        <f t="shared" si="7"/>
        <v>1.0027407033880134</v>
      </c>
    </row>
    <row r="96" spans="1:15" x14ac:dyDescent="0.2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s="1">
        <v>45748</v>
      </c>
      <c r="G96" t="s">
        <v>20</v>
      </c>
      <c r="H96" s="2">
        <v>58865.88</v>
      </c>
      <c r="I96" s="2">
        <v>60894.400000000001</v>
      </c>
      <c r="J96" s="2">
        <v>59753</v>
      </c>
      <c r="K96" s="2">
        <v>59527.58</v>
      </c>
      <c r="L96" s="2">
        <f t="shared" si="4"/>
        <v>2028.5200000000041</v>
      </c>
      <c r="M96" s="4">
        <f t="shared" si="5"/>
        <v>3.4460030156688463E-2</v>
      </c>
      <c r="N96" s="2">
        <f t="shared" si="6"/>
        <v>-1141.4000000000015</v>
      </c>
      <c r="O96" s="6">
        <f t="shared" si="7"/>
        <v>0.98125607609238286</v>
      </c>
    </row>
    <row r="97" spans="1:15" x14ac:dyDescent="0.2">
      <c r="A97" t="s">
        <v>11</v>
      </c>
      <c r="B97" t="s">
        <v>12</v>
      </c>
      <c r="C97" t="s">
        <v>13</v>
      </c>
      <c r="D97" t="s">
        <v>14</v>
      </c>
      <c r="E97" t="s">
        <v>15</v>
      </c>
      <c r="F97" s="1">
        <v>45748</v>
      </c>
      <c r="G97" t="s">
        <v>21</v>
      </c>
      <c r="H97" s="2">
        <v>92613.74</v>
      </c>
      <c r="I97" s="2">
        <v>95383.86</v>
      </c>
      <c r="J97" s="2">
        <v>93407.69</v>
      </c>
      <c r="K97" s="2">
        <v>95331.31</v>
      </c>
      <c r="L97" s="2">
        <f t="shared" si="4"/>
        <v>2770.1199999999953</v>
      </c>
      <c r="M97" s="4">
        <f t="shared" si="5"/>
        <v>2.9910464689148663E-2</v>
      </c>
      <c r="N97" s="2">
        <f t="shared" si="6"/>
        <v>-1976.1699999999983</v>
      </c>
      <c r="O97" s="6">
        <f t="shared" si="7"/>
        <v>0.97928192463588704</v>
      </c>
    </row>
    <row r="98" spans="1:15" x14ac:dyDescent="0.2">
      <c r="A98" t="s">
        <v>11</v>
      </c>
      <c r="B98" t="s">
        <v>12</v>
      </c>
      <c r="C98" t="s">
        <v>13</v>
      </c>
      <c r="D98" t="s">
        <v>14</v>
      </c>
      <c r="E98" t="s">
        <v>15</v>
      </c>
      <c r="F98" s="1">
        <v>45778</v>
      </c>
      <c r="G98" t="s">
        <v>16</v>
      </c>
      <c r="H98" s="2">
        <v>544526.98</v>
      </c>
      <c r="I98" s="2">
        <v>529689.99</v>
      </c>
      <c r="J98" s="2">
        <v>540837.26</v>
      </c>
      <c r="K98" s="2">
        <v>531518.99</v>
      </c>
      <c r="L98" s="2">
        <f t="shared" si="4"/>
        <v>-14836.989999999991</v>
      </c>
      <c r="M98" s="4">
        <f t="shared" si="5"/>
        <v>-2.7247483678402844E-2</v>
      </c>
      <c r="N98" s="2">
        <f t="shared" si="6"/>
        <v>11147.270000000019</v>
      </c>
      <c r="O98" s="6">
        <f t="shared" si="7"/>
        <v>1.0210448945806962</v>
      </c>
    </row>
    <row r="99" spans="1:15" x14ac:dyDescent="0.2">
      <c r="A99" t="s">
        <v>11</v>
      </c>
      <c r="B99" t="s">
        <v>12</v>
      </c>
      <c r="C99" t="s">
        <v>13</v>
      </c>
      <c r="D99" t="s">
        <v>14</v>
      </c>
      <c r="E99" t="s">
        <v>15</v>
      </c>
      <c r="F99" s="1">
        <v>45778</v>
      </c>
      <c r="G99" t="s">
        <v>17</v>
      </c>
      <c r="H99" s="2">
        <v>445161.96</v>
      </c>
      <c r="I99" s="2">
        <v>440475.01</v>
      </c>
      <c r="J99" s="2">
        <v>449318.2</v>
      </c>
      <c r="K99" s="2">
        <v>444299.81</v>
      </c>
      <c r="L99" s="2">
        <f t="shared" si="4"/>
        <v>-4686.9500000000116</v>
      </c>
      <c r="M99" s="4">
        <f t="shared" si="5"/>
        <v>-1.0528639958364842E-2</v>
      </c>
      <c r="N99" s="2">
        <f t="shared" si="6"/>
        <v>8843.1900000000023</v>
      </c>
      <c r="O99" s="6">
        <f t="shared" si="7"/>
        <v>1.0200764851563315</v>
      </c>
    </row>
    <row r="100" spans="1:15" x14ac:dyDescent="0.2">
      <c r="A100" t="s">
        <v>11</v>
      </c>
      <c r="B100" t="s">
        <v>12</v>
      </c>
      <c r="C100" t="s">
        <v>13</v>
      </c>
      <c r="D100" t="s">
        <v>14</v>
      </c>
      <c r="E100" t="s">
        <v>15</v>
      </c>
      <c r="F100" s="1">
        <v>45778</v>
      </c>
      <c r="G100" t="s">
        <v>18</v>
      </c>
      <c r="H100" s="2">
        <v>343445.58</v>
      </c>
      <c r="I100" s="2">
        <v>353032.97</v>
      </c>
      <c r="J100" s="2">
        <v>348940.13</v>
      </c>
      <c r="K100" s="2">
        <v>348297.15</v>
      </c>
      <c r="L100" s="2">
        <f t="shared" si="4"/>
        <v>9587.3899999999558</v>
      </c>
      <c r="M100" s="4">
        <f t="shared" si="5"/>
        <v>2.7915310483832563E-2</v>
      </c>
      <c r="N100" s="2">
        <f t="shared" si="6"/>
        <v>-4092.8399999999674</v>
      </c>
      <c r="O100" s="6">
        <f t="shared" si="7"/>
        <v>0.98840663522163397</v>
      </c>
    </row>
    <row r="101" spans="1:15" x14ac:dyDescent="0.2">
      <c r="A101" t="s">
        <v>11</v>
      </c>
      <c r="B101" t="s">
        <v>12</v>
      </c>
      <c r="C101" t="s">
        <v>13</v>
      </c>
      <c r="D101" t="s">
        <v>14</v>
      </c>
      <c r="E101" t="s">
        <v>15</v>
      </c>
      <c r="F101" s="1">
        <v>45778</v>
      </c>
      <c r="G101" t="s">
        <v>19</v>
      </c>
      <c r="H101" s="2">
        <v>246995.13</v>
      </c>
      <c r="I101" s="2">
        <v>241454.48</v>
      </c>
      <c r="J101" s="2">
        <v>251331.73</v>
      </c>
      <c r="K101" s="2">
        <v>241520.39</v>
      </c>
      <c r="L101" s="2">
        <f t="shared" si="4"/>
        <v>-5540.6499999999942</v>
      </c>
      <c r="M101" s="4">
        <f t="shared" si="5"/>
        <v>-2.2432223663681118E-2</v>
      </c>
      <c r="N101" s="2">
        <f t="shared" si="6"/>
        <v>9877.25</v>
      </c>
      <c r="O101" s="6">
        <f t="shared" si="7"/>
        <v>1.0409072964808936</v>
      </c>
    </row>
    <row r="102" spans="1:15" x14ac:dyDescent="0.2">
      <c r="A102" t="s">
        <v>11</v>
      </c>
      <c r="B102" t="s">
        <v>12</v>
      </c>
      <c r="C102" t="s">
        <v>13</v>
      </c>
      <c r="D102" t="s">
        <v>14</v>
      </c>
      <c r="E102" t="s">
        <v>15</v>
      </c>
      <c r="F102" s="1">
        <v>45778</v>
      </c>
      <c r="G102" t="s">
        <v>20</v>
      </c>
      <c r="H102" s="2">
        <v>59796.89</v>
      </c>
      <c r="I102" s="2">
        <v>61307.4</v>
      </c>
      <c r="J102" s="2">
        <v>58670.06</v>
      </c>
      <c r="K102" s="2">
        <v>60940.33</v>
      </c>
      <c r="L102" s="2">
        <f t="shared" si="4"/>
        <v>1510.510000000002</v>
      </c>
      <c r="M102" s="4">
        <f t="shared" si="5"/>
        <v>2.5260678272732949E-2</v>
      </c>
      <c r="N102" s="2">
        <f t="shared" si="6"/>
        <v>-2637.3400000000038</v>
      </c>
      <c r="O102" s="6">
        <f t="shared" si="7"/>
        <v>0.95698170204575628</v>
      </c>
    </row>
    <row r="103" spans="1:15" x14ac:dyDescent="0.2">
      <c r="A103" t="s">
        <v>11</v>
      </c>
      <c r="B103" t="s">
        <v>12</v>
      </c>
      <c r="C103" t="s">
        <v>13</v>
      </c>
      <c r="D103" t="s">
        <v>14</v>
      </c>
      <c r="E103" t="s">
        <v>15</v>
      </c>
      <c r="F103" s="1">
        <v>45778</v>
      </c>
      <c r="G103" t="s">
        <v>21</v>
      </c>
      <c r="H103" s="2">
        <v>95746.57</v>
      </c>
      <c r="I103" s="2">
        <v>95157.03</v>
      </c>
      <c r="J103" s="2">
        <v>98237.85</v>
      </c>
      <c r="K103" s="2">
        <v>96700.25</v>
      </c>
      <c r="L103" s="2">
        <f t="shared" si="4"/>
        <v>-589.54000000000815</v>
      </c>
      <c r="M103" s="4">
        <f t="shared" si="5"/>
        <v>-6.1572962874806699E-3</v>
      </c>
      <c r="N103" s="2">
        <f t="shared" si="6"/>
        <v>3080.820000000007</v>
      </c>
      <c r="O103" s="6">
        <f t="shared" si="7"/>
        <v>1.0323761681086516</v>
      </c>
    </row>
    <row r="104" spans="1:15" x14ac:dyDescent="0.2">
      <c r="A104" t="s">
        <v>11</v>
      </c>
      <c r="B104" t="s">
        <v>12</v>
      </c>
      <c r="C104" t="s">
        <v>13</v>
      </c>
      <c r="D104" t="s">
        <v>14</v>
      </c>
      <c r="E104" t="s">
        <v>15</v>
      </c>
      <c r="F104" s="1">
        <v>45809</v>
      </c>
      <c r="G104" t="s">
        <v>16</v>
      </c>
      <c r="H104" s="2">
        <v>550681.67000000004</v>
      </c>
      <c r="I104" s="2">
        <v>565165.18999999994</v>
      </c>
      <c r="J104" s="2">
        <v>542711.49</v>
      </c>
      <c r="K104" s="2">
        <v>555764.91</v>
      </c>
      <c r="L104" s="2">
        <f t="shared" si="4"/>
        <v>14483.519999999902</v>
      </c>
      <c r="M104" s="4">
        <f t="shared" si="5"/>
        <v>2.6301075174701025E-2</v>
      </c>
      <c r="N104" s="2">
        <f t="shared" si="6"/>
        <v>-22453.699999999953</v>
      </c>
      <c r="O104" s="6">
        <f t="shared" si="7"/>
        <v>0.96027055381807935</v>
      </c>
    </row>
    <row r="105" spans="1:15" x14ac:dyDescent="0.2">
      <c r="A105" t="s">
        <v>11</v>
      </c>
      <c r="B105" t="s">
        <v>12</v>
      </c>
      <c r="C105" t="s">
        <v>13</v>
      </c>
      <c r="D105" t="s">
        <v>14</v>
      </c>
      <c r="E105" t="s">
        <v>15</v>
      </c>
      <c r="F105" s="1">
        <v>45809</v>
      </c>
      <c r="G105" t="s">
        <v>17</v>
      </c>
      <c r="H105" s="2">
        <v>423369.92</v>
      </c>
      <c r="I105" s="2">
        <v>432290.79</v>
      </c>
      <c r="J105" s="2">
        <v>434337.64</v>
      </c>
      <c r="K105" s="2">
        <v>436458.58</v>
      </c>
      <c r="L105" s="2">
        <f t="shared" si="4"/>
        <v>8920.8699999999953</v>
      </c>
      <c r="M105" s="4">
        <f t="shared" si="5"/>
        <v>2.1071100185861093E-2</v>
      </c>
      <c r="N105" s="2">
        <f t="shared" si="6"/>
        <v>2046.8500000000349</v>
      </c>
      <c r="O105" s="6">
        <f t="shared" si="7"/>
        <v>1.0047348915298429</v>
      </c>
    </row>
    <row r="106" spans="1:15" x14ac:dyDescent="0.2">
      <c r="A106" t="s">
        <v>11</v>
      </c>
      <c r="B106" t="s">
        <v>12</v>
      </c>
      <c r="C106" t="s">
        <v>13</v>
      </c>
      <c r="D106" t="s">
        <v>14</v>
      </c>
      <c r="E106" t="s">
        <v>15</v>
      </c>
      <c r="F106" s="1">
        <v>45809</v>
      </c>
      <c r="G106" t="s">
        <v>18</v>
      </c>
      <c r="H106" s="2">
        <v>347005.69</v>
      </c>
      <c r="I106" s="2">
        <v>336423.87</v>
      </c>
      <c r="J106" s="2">
        <v>337968.58</v>
      </c>
      <c r="K106" s="2">
        <v>339122.09</v>
      </c>
      <c r="L106" s="2">
        <f t="shared" si="4"/>
        <v>-10581.820000000007</v>
      </c>
      <c r="M106" s="4">
        <f t="shared" si="5"/>
        <v>-3.0494658459346898E-2</v>
      </c>
      <c r="N106" s="2">
        <f t="shared" si="6"/>
        <v>1544.710000000021</v>
      </c>
      <c r="O106" s="6">
        <f t="shared" si="7"/>
        <v>1.004591558856986</v>
      </c>
    </row>
    <row r="107" spans="1:15" x14ac:dyDescent="0.2">
      <c r="A107" t="s">
        <v>11</v>
      </c>
      <c r="B107" t="s">
        <v>12</v>
      </c>
      <c r="C107" t="s">
        <v>13</v>
      </c>
      <c r="D107" t="s">
        <v>14</v>
      </c>
      <c r="E107" t="s">
        <v>15</v>
      </c>
      <c r="F107" s="1">
        <v>45809</v>
      </c>
      <c r="G107" t="s">
        <v>19</v>
      </c>
      <c r="H107" s="2">
        <v>246562.55</v>
      </c>
      <c r="I107" s="2">
        <v>254852.97</v>
      </c>
      <c r="J107" s="2">
        <v>252370.56</v>
      </c>
      <c r="K107" s="2">
        <v>256179.89</v>
      </c>
      <c r="L107" s="2">
        <f t="shared" si="4"/>
        <v>8290.4200000000128</v>
      </c>
      <c r="M107" s="4">
        <f t="shared" si="5"/>
        <v>3.3624003320861233E-2</v>
      </c>
      <c r="N107" s="2">
        <f t="shared" si="6"/>
        <v>-2482.4100000000035</v>
      </c>
      <c r="O107" s="6">
        <f t="shared" si="7"/>
        <v>0.99025944253268849</v>
      </c>
    </row>
    <row r="108" spans="1:15" x14ac:dyDescent="0.2">
      <c r="A108" t="s">
        <v>11</v>
      </c>
      <c r="B108" t="s">
        <v>12</v>
      </c>
      <c r="C108" t="s">
        <v>13</v>
      </c>
      <c r="D108" t="s">
        <v>14</v>
      </c>
      <c r="E108" t="s">
        <v>15</v>
      </c>
      <c r="F108" s="1">
        <v>45809</v>
      </c>
      <c r="G108" t="s">
        <v>20</v>
      </c>
      <c r="H108" s="2">
        <v>59481.21</v>
      </c>
      <c r="I108" s="2">
        <v>57667.49</v>
      </c>
      <c r="J108" s="2">
        <v>60351.6</v>
      </c>
      <c r="K108" s="2">
        <v>58945.86</v>
      </c>
      <c r="L108" s="2">
        <f t="shared" si="4"/>
        <v>-1813.7200000000012</v>
      </c>
      <c r="M108" s="4">
        <f t="shared" si="5"/>
        <v>-3.0492318498564524E-2</v>
      </c>
      <c r="N108" s="2">
        <f t="shared" si="6"/>
        <v>2684.1100000000006</v>
      </c>
      <c r="O108" s="6">
        <f t="shared" si="7"/>
        <v>1.0465445955771615</v>
      </c>
    </row>
    <row r="109" spans="1:15" x14ac:dyDescent="0.2">
      <c r="A109" t="s">
        <v>11</v>
      </c>
      <c r="B109" t="s">
        <v>12</v>
      </c>
      <c r="C109" t="s">
        <v>13</v>
      </c>
      <c r="D109" t="s">
        <v>14</v>
      </c>
      <c r="E109" t="s">
        <v>15</v>
      </c>
      <c r="F109" s="1">
        <v>45809</v>
      </c>
      <c r="G109" t="s">
        <v>21</v>
      </c>
      <c r="H109" s="2">
        <v>93032.06</v>
      </c>
      <c r="I109" s="2">
        <v>93669.13</v>
      </c>
      <c r="J109" s="2">
        <v>93618.67</v>
      </c>
      <c r="K109" s="2">
        <v>93910.34</v>
      </c>
      <c r="L109" s="2">
        <f t="shared" si="4"/>
        <v>637.07000000000698</v>
      </c>
      <c r="M109" s="4">
        <f t="shared" si="5"/>
        <v>6.8478543848218242E-3</v>
      </c>
      <c r="N109" s="2">
        <f t="shared" si="6"/>
        <v>-50.460000000006403</v>
      </c>
      <c r="O109" s="6">
        <f t="shared" si="7"/>
        <v>0.99946129530614825</v>
      </c>
    </row>
    <row r="110" spans="1:15" x14ac:dyDescent="0.2">
      <c r="A110" t="s">
        <v>11</v>
      </c>
      <c r="B110" t="s">
        <v>12</v>
      </c>
      <c r="C110" t="s">
        <v>13</v>
      </c>
      <c r="D110" t="s">
        <v>14</v>
      </c>
      <c r="E110" t="s">
        <v>15</v>
      </c>
      <c r="F110" s="1">
        <v>45839</v>
      </c>
      <c r="G110" t="s">
        <v>16</v>
      </c>
      <c r="H110" s="2">
        <v>554769.17000000004</v>
      </c>
      <c r="I110" s="2">
        <v>555323.05000000005</v>
      </c>
      <c r="J110" s="2">
        <v>557405.96</v>
      </c>
      <c r="K110" s="2">
        <v>556289.04</v>
      </c>
      <c r="L110" s="2">
        <f t="shared" si="4"/>
        <v>553.88000000000466</v>
      </c>
      <c r="M110" s="4">
        <f t="shared" si="5"/>
        <v>9.9839722528201162E-4</v>
      </c>
      <c r="N110" s="2">
        <f t="shared" si="6"/>
        <v>2082.9099999999162</v>
      </c>
      <c r="O110" s="6">
        <f t="shared" si="7"/>
        <v>1.0037508077505515</v>
      </c>
    </row>
    <row r="111" spans="1:15" x14ac:dyDescent="0.2">
      <c r="A111" t="s">
        <v>11</v>
      </c>
      <c r="B111" t="s">
        <v>12</v>
      </c>
      <c r="C111" t="s">
        <v>13</v>
      </c>
      <c r="D111" t="s">
        <v>14</v>
      </c>
      <c r="E111" t="s">
        <v>15</v>
      </c>
      <c r="F111" s="1">
        <v>45839</v>
      </c>
      <c r="G111" t="s">
        <v>17</v>
      </c>
      <c r="H111" s="2">
        <v>442702.02</v>
      </c>
      <c r="I111" s="2">
        <v>428809.81</v>
      </c>
      <c r="J111" s="2">
        <v>449576.39</v>
      </c>
      <c r="K111" s="2">
        <v>434022.14</v>
      </c>
      <c r="L111" s="2">
        <f t="shared" si="4"/>
        <v>-13892.210000000021</v>
      </c>
      <c r="M111" s="4">
        <f t="shared" si="5"/>
        <v>-3.1380498331586605E-2</v>
      </c>
      <c r="N111" s="2">
        <f t="shared" si="6"/>
        <v>20766.580000000016</v>
      </c>
      <c r="O111" s="6">
        <f t="shared" si="7"/>
        <v>1.0484284163181807</v>
      </c>
    </row>
    <row r="112" spans="1:15" x14ac:dyDescent="0.2">
      <c r="A112" t="s">
        <v>11</v>
      </c>
      <c r="B112" t="s">
        <v>12</v>
      </c>
      <c r="C112" t="s">
        <v>13</v>
      </c>
      <c r="D112" t="s">
        <v>14</v>
      </c>
      <c r="E112" t="s">
        <v>15</v>
      </c>
      <c r="F112" s="1">
        <v>45839</v>
      </c>
      <c r="G112" t="s">
        <v>18</v>
      </c>
      <c r="H112" s="2">
        <v>363247.35</v>
      </c>
      <c r="I112" s="2">
        <v>359918.01</v>
      </c>
      <c r="J112" s="2">
        <v>363427.69</v>
      </c>
      <c r="K112" s="2">
        <v>366676.26</v>
      </c>
      <c r="L112" s="2">
        <f t="shared" si="4"/>
        <v>-3329.3399999999674</v>
      </c>
      <c r="M112" s="4">
        <f t="shared" si="5"/>
        <v>-9.165490126768901E-3</v>
      </c>
      <c r="N112" s="2">
        <f t="shared" si="6"/>
        <v>3509.679999999993</v>
      </c>
      <c r="O112" s="6">
        <f t="shared" si="7"/>
        <v>1.0097513319769689</v>
      </c>
    </row>
    <row r="113" spans="1:15" x14ac:dyDescent="0.2">
      <c r="A113" t="s">
        <v>11</v>
      </c>
      <c r="B113" t="s">
        <v>12</v>
      </c>
      <c r="C113" t="s">
        <v>13</v>
      </c>
      <c r="D113" t="s">
        <v>14</v>
      </c>
      <c r="E113" t="s">
        <v>15</v>
      </c>
      <c r="F113" s="1">
        <v>45839</v>
      </c>
      <c r="G113" t="s">
        <v>19</v>
      </c>
      <c r="H113" s="2">
        <v>251991.43</v>
      </c>
      <c r="I113" s="2">
        <v>244367.34</v>
      </c>
      <c r="J113" s="2">
        <v>245401.15</v>
      </c>
      <c r="K113" s="2">
        <v>248138.35</v>
      </c>
      <c r="L113" s="2">
        <f t="shared" si="4"/>
        <v>-7624.0899999999965</v>
      </c>
      <c r="M113" s="4">
        <f t="shared" si="5"/>
        <v>-3.025535431899409E-2</v>
      </c>
      <c r="N113" s="2">
        <f t="shared" si="6"/>
        <v>1033.8099999999977</v>
      </c>
      <c r="O113" s="6">
        <f t="shared" si="7"/>
        <v>1.00423055716038</v>
      </c>
    </row>
    <row r="114" spans="1:15" x14ac:dyDescent="0.2">
      <c r="A114" t="s">
        <v>11</v>
      </c>
      <c r="B114" t="s">
        <v>12</v>
      </c>
      <c r="C114" t="s">
        <v>13</v>
      </c>
      <c r="D114" t="s">
        <v>14</v>
      </c>
      <c r="E114" t="s">
        <v>15</v>
      </c>
      <c r="F114" s="1">
        <v>45839</v>
      </c>
      <c r="G114" t="s">
        <v>20</v>
      </c>
      <c r="H114" s="2">
        <v>58547.91</v>
      </c>
      <c r="I114" s="2">
        <v>57372.36</v>
      </c>
      <c r="J114" s="2">
        <v>58563.54</v>
      </c>
      <c r="K114" s="2">
        <v>58552.43</v>
      </c>
      <c r="L114" s="2">
        <f t="shared" si="4"/>
        <v>-1175.5500000000029</v>
      </c>
      <c r="M114" s="4">
        <f t="shared" si="5"/>
        <v>-2.007842807710818E-2</v>
      </c>
      <c r="N114" s="2">
        <f t="shared" si="6"/>
        <v>1191.1800000000003</v>
      </c>
      <c r="O114" s="6">
        <f t="shared" si="7"/>
        <v>1.0207622625250208</v>
      </c>
    </row>
    <row r="115" spans="1:15" x14ac:dyDescent="0.2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s="1">
        <v>45839</v>
      </c>
      <c r="G115" t="s">
        <v>21</v>
      </c>
      <c r="H115" s="2">
        <v>92961.62</v>
      </c>
      <c r="I115" s="2">
        <v>91833.08</v>
      </c>
      <c r="J115" s="2">
        <v>90215.13</v>
      </c>
      <c r="K115" s="2">
        <v>93310.58</v>
      </c>
      <c r="L115" s="2">
        <f t="shared" si="4"/>
        <v>-1128.5399999999936</v>
      </c>
      <c r="M115" s="4">
        <f t="shared" si="5"/>
        <v>-1.2139848681638655E-2</v>
      </c>
      <c r="N115" s="2">
        <f t="shared" si="6"/>
        <v>-1617.9499999999971</v>
      </c>
      <c r="O115" s="6">
        <f t="shared" si="7"/>
        <v>0.98238162108904548</v>
      </c>
    </row>
    <row r="116" spans="1:15" x14ac:dyDescent="0.2">
      <c r="A116" t="s">
        <v>11</v>
      </c>
      <c r="B116" t="s">
        <v>12</v>
      </c>
      <c r="C116" t="s">
        <v>13</v>
      </c>
      <c r="D116" t="s">
        <v>14</v>
      </c>
      <c r="E116" t="s">
        <v>15</v>
      </c>
      <c r="F116" s="1">
        <v>45870</v>
      </c>
      <c r="G116" t="s">
        <v>16</v>
      </c>
      <c r="H116" s="2">
        <v>561108.54</v>
      </c>
      <c r="I116" s="2">
        <v>548742.11</v>
      </c>
      <c r="J116" s="2">
        <v>565559.65</v>
      </c>
      <c r="K116" s="2">
        <v>556254.93000000005</v>
      </c>
      <c r="L116" s="2">
        <f t="shared" si="4"/>
        <v>-12366.430000000051</v>
      </c>
      <c r="M116" s="4">
        <f t="shared" si="5"/>
        <v>-2.2039283166141174E-2</v>
      </c>
      <c r="N116" s="2">
        <f t="shared" si="6"/>
        <v>16817.540000000037</v>
      </c>
      <c r="O116" s="6">
        <f t="shared" si="7"/>
        <v>1.0306474383750137</v>
      </c>
    </row>
    <row r="117" spans="1:15" x14ac:dyDescent="0.2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s="1">
        <v>45870</v>
      </c>
      <c r="G117" t="s">
        <v>17</v>
      </c>
      <c r="H117" s="2">
        <v>434466.36</v>
      </c>
      <c r="I117" s="2">
        <v>429443.86</v>
      </c>
      <c r="J117" s="2">
        <v>432732.63</v>
      </c>
      <c r="K117" s="2">
        <v>432917.45</v>
      </c>
      <c r="L117" s="2">
        <f t="shared" si="4"/>
        <v>-5022.5</v>
      </c>
      <c r="M117" s="4">
        <f t="shared" si="5"/>
        <v>-1.1560158535634382E-2</v>
      </c>
      <c r="N117" s="2">
        <f t="shared" si="6"/>
        <v>3288.7700000000186</v>
      </c>
      <c r="O117" s="6">
        <f t="shared" si="7"/>
        <v>1.0076582070587761</v>
      </c>
    </row>
    <row r="118" spans="1:15" x14ac:dyDescent="0.2">
      <c r="A118" t="s">
        <v>11</v>
      </c>
      <c r="B118" t="s">
        <v>12</v>
      </c>
      <c r="C118" t="s">
        <v>13</v>
      </c>
      <c r="D118" t="s">
        <v>14</v>
      </c>
      <c r="E118" t="s">
        <v>15</v>
      </c>
      <c r="F118" s="1">
        <v>45870</v>
      </c>
      <c r="G118" t="s">
        <v>18</v>
      </c>
      <c r="H118" s="2">
        <v>339324.12</v>
      </c>
      <c r="I118" s="2">
        <v>338624.32</v>
      </c>
      <c r="J118" s="2">
        <v>332891.82</v>
      </c>
      <c r="K118" s="2">
        <v>336601.89</v>
      </c>
      <c r="L118" s="2">
        <f t="shared" si="4"/>
        <v>-699.79999999998836</v>
      </c>
      <c r="M118" s="4">
        <f t="shared" si="5"/>
        <v>-2.0623349734171219E-3</v>
      </c>
      <c r="N118" s="2">
        <f t="shared" si="6"/>
        <v>-5732.5</v>
      </c>
      <c r="O118" s="6">
        <f t="shared" si="7"/>
        <v>0.98307121000641651</v>
      </c>
    </row>
    <row r="119" spans="1:15" x14ac:dyDescent="0.2">
      <c r="A119" t="s">
        <v>11</v>
      </c>
      <c r="B119" t="s">
        <v>12</v>
      </c>
      <c r="C119" t="s">
        <v>13</v>
      </c>
      <c r="D119" t="s">
        <v>14</v>
      </c>
      <c r="E119" t="s">
        <v>15</v>
      </c>
      <c r="F119" s="1">
        <v>45870</v>
      </c>
      <c r="G119" t="s">
        <v>19</v>
      </c>
      <c r="H119" s="2">
        <v>260521.28</v>
      </c>
      <c r="I119" s="2">
        <v>256118.02</v>
      </c>
      <c r="J119" s="2">
        <v>257127.67999999999</v>
      </c>
      <c r="K119" s="2">
        <v>255379.99</v>
      </c>
      <c r="L119" s="2">
        <f t="shared" si="4"/>
        <v>-4403.2600000000093</v>
      </c>
      <c r="M119" s="4">
        <f t="shared" si="5"/>
        <v>-1.6901728718667471E-2</v>
      </c>
      <c r="N119" s="2">
        <f t="shared" si="6"/>
        <v>1009.6600000000035</v>
      </c>
      <c r="O119" s="6">
        <f t="shared" si="7"/>
        <v>1.0039421669744284</v>
      </c>
    </row>
    <row r="120" spans="1:15" x14ac:dyDescent="0.2">
      <c r="A120" t="s">
        <v>11</v>
      </c>
      <c r="B120" t="s">
        <v>12</v>
      </c>
      <c r="C120" t="s">
        <v>13</v>
      </c>
      <c r="D120" t="s">
        <v>14</v>
      </c>
      <c r="E120" t="s">
        <v>15</v>
      </c>
      <c r="F120" s="1">
        <v>45870</v>
      </c>
      <c r="G120" t="s">
        <v>20</v>
      </c>
      <c r="H120" s="2">
        <v>63329.47</v>
      </c>
      <c r="I120" s="2">
        <v>61541.52</v>
      </c>
      <c r="J120" s="2">
        <v>62327.38</v>
      </c>
      <c r="K120" s="2">
        <v>62422.5</v>
      </c>
      <c r="L120" s="2">
        <f t="shared" si="4"/>
        <v>-1787.9500000000044</v>
      </c>
      <c r="M120" s="4">
        <f t="shared" si="5"/>
        <v>-2.8232511656895349E-2</v>
      </c>
      <c r="N120" s="2">
        <f t="shared" si="6"/>
        <v>785.86000000000058</v>
      </c>
      <c r="O120" s="6">
        <f t="shared" si="7"/>
        <v>1.0127695903513596</v>
      </c>
    </row>
    <row r="121" spans="1:15" x14ac:dyDescent="0.2">
      <c r="A121" t="s">
        <v>11</v>
      </c>
      <c r="B121" t="s">
        <v>12</v>
      </c>
      <c r="C121" t="s">
        <v>13</v>
      </c>
      <c r="D121" t="s">
        <v>14</v>
      </c>
      <c r="E121" t="s">
        <v>15</v>
      </c>
      <c r="F121" s="1">
        <v>45870</v>
      </c>
      <c r="G121" t="s">
        <v>21</v>
      </c>
      <c r="H121" s="2">
        <v>93617.77</v>
      </c>
      <c r="I121" s="2">
        <v>95012.68</v>
      </c>
      <c r="J121" s="2">
        <v>95028.55</v>
      </c>
      <c r="K121" s="2">
        <v>95759.59</v>
      </c>
      <c r="L121" s="2">
        <f t="shared" si="4"/>
        <v>1394.9099999999889</v>
      </c>
      <c r="M121" s="4">
        <f t="shared" si="5"/>
        <v>1.4900055833416977E-2</v>
      </c>
      <c r="N121" s="2">
        <f t="shared" si="6"/>
        <v>15.870000000009895</v>
      </c>
      <c r="O121" s="6">
        <f t="shared" si="7"/>
        <v>1.0001670303374246</v>
      </c>
    </row>
    <row r="122" spans="1:15" x14ac:dyDescent="0.2">
      <c r="A122" t="s">
        <v>11</v>
      </c>
      <c r="B122" t="s">
        <v>12</v>
      </c>
      <c r="C122" t="s">
        <v>13</v>
      </c>
      <c r="D122" t="s">
        <v>14</v>
      </c>
      <c r="E122" t="s">
        <v>15</v>
      </c>
      <c r="F122" s="1">
        <v>45901</v>
      </c>
      <c r="G122" t="s">
        <v>16</v>
      </c>
      <c r="H122" s="2">
        <v>561755.38</v>
      </c>
      <c r="I122" s="2">
        <v>577769.04</v>
      </c>
      <c r="J122" s="2">
        <v>576832.57999999996</v>
      </c>
      <c r="K122" s="2">
        <v>572539.56000000006</v>
      </c>
      <c r="L122" s="2">
        <f t="shared" si="4"/>
        <v>16013.660000000033</v>
      </c>
      <c r="M122" s="4">
        <f t="shared" si="5"/>
        <v>2.8506464860203088E-2</v>
      </c>
      <c r="N122" s="2">
        <f t="shared" si="6"/>
        <v>-936.46000000007916</v>
      </c>
      <c r="O122" s="6">
        <f t="shared" si="7"/>
        <v>0.99837917933435816</v>
      </c>
    </row>
    <row r="123" spans="1:15" x14ac:dyDescent="0.2">
      <c r="A123" t="s">
        <v>11</v>
      </c>
      <c r="B123" t="s">
        <v>12</v>
      </c>
      <c r="C123" t="s">
        <v>13</v>
      </c>
      <c r="D123" t="s">
        <v>14</v>
      </c>
      <c r="E123" t="s">
        <v>15</v>
      </c>
      <c r="F123" s="1">
        <v>45901</v>
      </c>
      <c r="G123" t="s">
        <v>17</v>
      </c>
      <c r="H123" s="2">
        <v>435225.07</v>
      </c>
      <c r="I123" s="2">
        <v>445765.52</v>
      </c>
      <c r="J123" s="2">
        <v>442207.65</v>
      </c>
      <c r="K123" s="2">
        <v>449599.48</v>
      </c>
      <c r="L123" s="2">
        <f t="shared" si="4"/>
        <v>10540.450000000012</v>
      </c>
      <c r="M123" s="4">
        <f t="shared" si="5"/>
        <v>2.4218388890143695E-2</v>
      </c>
      <c r="N123" s="2">
        <f t="shared" si="6"/>
        <v>-3557.8699999999953</v>
      </c>
      <c r="O123" s="6">
        <f t="shared" si="7"/>
        <v>0.99201851682023323</v>
      </c>
    </row>
    <row r="124" spans="1:15" x14ac:dyDescent="0.2">
      <c r="A124" t="s">
        <v>11</v>
      </c>
      <c r="B124" t="s">
        <v>12</v>
      </c>
      <c r="C124" t="s">
        <v>13</v>
      </c>
      <c r="D124" t="s">
        <v>14</v>
      </c>
      <c r="E124" t="s">
        <v>15</v>
      </c>
      <c r="F124" s="1">
        <v>45901</v>
      </c>
      <c r="G124" t="s">
        <v>18</v>
      </c>
      <c r="H124" s="2">
        <v>366368.55</v>
      </c>
      <c r="I124" s="2">
        <v>375728.28</v>
      </c>
      <c r="J124" s="2">
        <v>377103.8</v>
      </c>
      <c r="K124" s="2">
        <v>371757.72</v>
      </c>
      <c r="L124" s="2">
        <f t="shared" si="4"/>
        <v>9359.7300000000396</v>
      </c>
      <c r="M124" s="4">
        <f t="shared" si="5"/>
        <v>2.5547307485863729E-2</v>
      </c>
      <c r="N124" s="2">
        <f t="shared" si="6"/>
        <v>1375.5199999999604</v>
      </c>
      <c r="O124" s="6">
        <f t="shared" si="7"/>
        <v>1.0036609434882036</v>
      </c>
    </row>
    <row r="125" spans="1:15" x14ac:dyDescent="0.2">
      <c r="A125" t="s">
        <v>11</v>
      </c>
      <c r="B125" t="s">
        <v>12</v>
      </c>
      <c r="C125" t="s">
        <v>13</v>
      </c>
      <c r="D125" t="s">
        <v>14</v>
      </c>
      <c r="E125" t="s">
        <v>15</v>
      </c>
      <c r="F125" s="1">
        <v>45901</v>
      </c>
      <c r="G125" t="s">
        <v>19</v>
      </c>
      <c r="H125" s="2">
        <v>264636.3</v>
      </c>
      <c r="I125" s="2">
        <v>270240.68</v>
      </c>
      <c r="J125" s="2">
        <v>269584.48</v>
      </c>
      <c r="K125" s="2">
        <v>269955.49</v>
      </c>
      <c r="L125" s="2">
        <f t="shared" si="4"/>
        <v>5604.3800000000047</v>
      </c>
      <c r="M125" s="4">
        <f t="shared" si="5"/>
        <v>2.1177669125513034E-2</v>
      </c>
      <c r="N125" s="2">
        <f t="shared" si="6"/>
        <v>-656.20000000001164</v>
      </c>
      <c r="O125" s="6">
        <f t="shared" si="7"/>
        <v>0.99757179415031072</v>
      </c>
    </row>
    <row r="126" spans="1:15" x14ac:dyDescent="0.2">
      <c r="A126" t="s">
        <v>11</v>
      </c>
      <c r="B126" t="s">
        <v>12</v>
      </c>
      <c r="C126" t="s">
        <v>13</v>
      </c>
      <c r="D126" t="s">
        <v>14</v>
      </c>
      <c r="E126" t="s">
        <v>15</v>
      </c>
      <c r="F126" s="1">
        <v>45901</v>
      </c>
      <c r="G126" t="s">
        <v>20</v>
      </c>
      <c r="H126" s="2">
        <v>59545.39</v>
      </c>
      <c r="I126" s="2">
        <v>59517.81</v>
      </c>
      <c r="J126" s="2">
        <v>60074.16</v>
      </c>
      <c r="K126" s="2">
        <v>59084.03</v>
      </c>
      <c r="L126" s="2">
        <f t="shared" si="4"/>
        <v>-27.580000000001746</v>
      </c>
      <c r="M126" s="4">
        <f t="shared" si="5"/>
        <v>-4.6317607458783535E-4</v>
      </c>
      <c r="N126" s="2">
        <f t="shared" si="6"/>
        <v>556.35000000000582</v>
      </c>
      <c r="O126" s="6">
        <f t="shared" si="7"/>
        <v>1.0093476221655333</v>
      </c>
    </row>
    <row r="127" spans="1:15" x14ac:dyDescent="0.2">
      <c r="A127" t="s">
        <v>11</v>
      </c>
      <c r="B127" t="s">
        <v>12</v>
      </c>
      <c r="C127" t="s">
        <v>13</v>
      </c>
      <c r="D127" t="s">
        <v>14</v>
      </c>
      <c r="E127" t="s">
        <v>15</v>
      </c>
      <c r="F127" s="1">
        <v>45901</v>
      </c>
      <c r="G127" t="s">
        <v>21</v>
      </c>
      <c r="H127" s="2">
        <v>92626.09</v>
      </c>
      <c r="I127" s="2">
        <v>90202.81</v>
      </c>
      <c r="J127" s="2">
        <v>94485.26</v>
      </c>
      <c r="K127" s="2">
        <v>92076.96</v>
      </c>
      <c r="L127" s="2">
        <f t="shared" si="4"/>
        <v>-2423.2799999999988</v>
      </c>
      <c r="M127" s="4">
        <f t="shared" si="5"/>
        <v>-2.6161959335647213E-2</v>
      </c>
      <c r="N127" s="2">
        <f t="shared" si="6"/>
        <v>4282.4499999999971</v>
      </c>
      <c r="O127" s="6">
        <f t="shared" si="7"/>
        <v>1.047475793714187</v>
      </c>
    </row>
    <row r="128" spans="1:15" x14ac:dyDescent="0.2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s="1">
        <v>45931</v>
      </c>
      <c r="G128" t="s">
        <v>16</v>
      </c>
      <c r="H128" s="2">
        <v>567903.23</v>
      </c>
      <c r="I128" s="2">
        <v>558987.94999999995</v>
      </c>
      <c r="J128" s="2">
        <v>574942.68000000005</v>
      </c>
      <c r="K128" s="2">
        <v>565142.85</v>
      </c>
      <c r="L128" s="2">
        <f t="shared" si="4"/>
        <v>-8915.2800000000279</v>
      </c>
      <c r="M128" s="4">
        <f t="shared" si="5"/>
        <v>-1.5698590057323724E-2</v>
      </c>
      <c r="N128" s="2">
        <f t="shared" si="6"/>
        <v>15954.730000000098</v>
      </c>
      <c r="O128" s="6">
        <f t="shared" si="7"/>
        <v>1.0285421716156853</v>
      </c>
    </row>
    <row r="129" spans="1:15" x14ac:dyDescent="0.2">
      <c r="A129" t="s">
        <v>11</v>
      </c>
      <c r="B129" t="s">
        <v>12</v>
      </c>
      <c r="C129" t="s">
        <v>13</v>
      </c>
      <c r="D129" t="s">
        <v>14</v>
      </c>
      <c r="E129" t="s">
        <v>15</v>
      </c>
      <c r="F129" s="1">
        <v>45931</v>
      </c>
      <c r="G129" t="s">
        <v>17</v>
      </c>
      <c r="H129" s="2">
        <v>456169.25</v>
      </c>
      <c r="I129" s="2">
        <v>464144.71</v>
      </c>
      <c r="J129" s="2">
        <v>461182.17</v>
      </c>
      <c r="K129" s="2">
        <v>468547.95</v>
      </c>
      <c r="L129" s="2">
        <f t="shared" si="4"/>
        <v>7975.460000000021</v>
      </c>
      <c r="M129" s="4">
        <f t="shared" si="5"/>
        <v>1.7483554623640284E-2</v>
      </c>
      <c r="N129" s="2">
        <f t="shared" si="6"/>
        <v>-2962.5400000000373</v>
      </c>
      <c r="O129" s="6">
        <f t="shared" si="7"/>
        <v>0.99361720615107296</v>
      </c>
    </row>
    <row r="130" spans="1:15" x14ac:dyDescent="0.2">
      <c r="A130" t="s">
        <v>11</v>
      </c>
      <c r="B130" t="s">
        <v>12</v>
      </c>
      <c r="C130" t="s">
        <v>13</v>
      </c>
      <c r="D130" t="s">
        <v>14</v>
      </c>
      <c r="E130" t="s">
        <v>15</v>
      </c>
      <c r="F130" s="1">
        <v>45931</v>
      </c>
      <c r="G130" t="s">
        <v>18</v>
      </c>
      <c r="H130" s="2">
        <v>349198.19</v>
      </c>
      <c r="I130" s="2">
        <v>338174.48</v>
      </c>
      <c r="J130" s="2">
        <v>341429.3</v>
      </c>
      <c r="K130" s="2">
        <v>341333.38</v>
      </c>
      <c r="L130" s="2">
        <f t="shared" ref="L130:L193" si="8">I130-H130</f>
        <v>-11023.710000000021</v>
      </c>
      <c r="M130" s="4">
        <f t="shared" ref="M130:M193" si="9">L130/H130</f>
        <v>-3.1568634419325087E-2</v>
      </c>
      <c r="N130" s="2">
        <f t="shared" ref="N130:N193" si="10">J130-I130</f>
        <v>3254.820000000007</v>
      </c>
      <c r="O130" s="6">
        <f t="shared" ref="O130:O193" si="11">J130/I130</f>
        <v>1.0096246765870682</v>
      </c>
    </row>
    <row r="131" spans="1:15" x14ac:dyDescent="0.2">
      <c r="A131" t="s">
        <v>11</v>
      </c>
      <c r="B131" t="s">
        <v>12</v>
      </c>
      <c r="C131" t="s">
        <v>13</v>
      </c>
      <c r="D131" t="s">
        <v>14</v>
      </c>
      <c r="E131" t="s">
        <v>15</v>
      </c>
      <c r="F131" s="1">
        <v>45931</v>
      </c>
      <c r="G131" t="s">
        <v>19</v>
      </c>
      <c r="H131" s="2">
        <v>272366.03000000003</v>
      </c>
      <c r="I131" s="2">
        <v>265153.65999999997</v>
      </c>
      <c r="J131" s="2">
        <v>265445.63</v>
      </c>
      <c r="K131" s="2">
        <v>267815.61</v>
      </c>
      <c r="L131" s="2">
        <f t="shared" si="8"/>
        <v>-7212.3700000000536</v>
      </c>
      <c r="M131" s="4">
        <f t="shared" si="9"/>
        <v>-2.6480431498744732E-2</v>
      </c>
      <c r="N131" s="2">
        <f t="shared" si="10"/>
        <v>291.97000000003027</v>
      </c>
      <c r="O131" s="6">
        <f t="shared" si="11"/>
        <v>1.001101135092761</v>
      </c>
    </row>
    <row r="132" spans="1:15" x14ac:dyDescent="0.2">
      <c r="A132" t="s">
        <v>11</v>
      </c>
      <c r="B132" t="s">
        <v>12</v>
      </c>
      <c r="C132" t="s">
        <v>13</v>
      </c>
      <c r="D132" t="s">
        <v>14</v>
      </c>
      <c r="E132" t="s">
        <v>15</v>
      </c>
      <c r="F132" s="1">
        <v>45931</v>
      </c>
      <c r="G132" t="s">
        <v>20</v>
      </c>
      <c r="H132" s="2">
        <v>62434.09</v>
      </c>
      <c r="I132" s="2">
        <v>63386.04</v>
      </c>
      <c r="J132" s="2">
        <v>64073.82</v>
      </c>
      <c r="K132" s="2">
        <v>63508.77</v>
      </c>
      <c r="L132" s="2">
        <f t="shared" si="8"/>
        <v>951.95000000000437</v>
      </c>
      <c r="M132" s="4">
        <f t="shared" si="9"/>
        <v>1.5247279170722348E-2</v>
      </c>
      <c r="N132" s="2">
        <f t="shared" si="10"/>
        <v>687.77999999999884</v>
      </c>
      <c r="O132" s="6">
        <f t="shared" si="11"/>
        <v>1.0108506541818987</v>
      </c>
    </row>
    <row r="133" spans="1:15" x14ac:dyDescent="0.2">
      <c r="A133" t="s">
        <v>11</v>
      </c>
      <c r="B133" t="s">
        <v>12</v>
      </c>
      <c r="C133" t="s">
        <v>13</v>
      </c>
      <c r="D133" t="s">
        <v>14</v>
      </c>
      <c r="E133" t="s">
        <v>15</v>
      </c>
      <c r="F133" s="1">
        <v>45931</v>
      </c>
      <c r="G133" t="s">
        <v>21</v>
      </c>
      <c r="H133" s="2">
        <v>98502.17</v>
      </c>
      <c r="I133" s="2">
        <v>95728.42</v>
      </c>
      <c r="J133" s="2">
        <v>97620.49</v>
      </c>
      <c r="K133" s="2">
        <v>96369.55</v>
      </c>
      <c r="L133" s="2">
        <f t="shared" si="8"/>
        <v>-2773.75</v>
      </c>
      <c r="M133" s="4">
        <f t="shared" si="9"/>
        <v>-2.8159278115395835E-2</v>
      </c>
      <c r="N133" s="2">
        <f t="shared" si="10"/>
        <v>1892.070000000007</v>
      </c>
      <c r="O133" s="6">
        <f t="shared" si="11"/>
        <v>1.0197649767958148</v>
      </c>
    </row>
    <row r="134" spans="1:15" x14ac:dyDescent="0.2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s="1">
        <v>45962</v>
      </c>
      <c r="G134" t="s">
        <v>16</v>
      </c>
      <c r="H134" s="2">
        <v>568195.78</v>
      </c>
      <c r="I134" s="2">
        <v>579726.54</v>
      </c>
      <c r="J134" s="2">
        <v>561793.69999999995</v>
      </c>
      <c r="K134" s="2">
        <v>573394.22</v>
      </c>
      <c r="L134" s="2">
        <f t="shared" si="8"/>
        <v>11530.760000000009</v>
      </c>
      <c r="M134" s="4">
        <f t="shared" si="9"/>
        <v>2.0293638928469353E-2</v>
      </c>
      <c r="N134" s="2">
        <f t="shared" si="10"/>
        <v>-17932.840000000084</v>
      </c>
      <c r="O134" s="6">
        <f t="shared" si="11"/>
        <v>0.96906672583939302</v>
      </c>
    </row>
    <row r="135" spans="1:15" x14ac:dyDescent="0.2">
      <c r="A135" t="s">
        <v>11</v>
      </c>
      <c r="B135" t="s">
        <v>12</v>
      </c>
      <c r="C135" t="s">
        <v>13</v>
      </c>
      <c r="D135" t="s">
        <v>14</v>
      </c>
      <c r="E135" t="s">
        <v>15</v>
      </c>
      <c r="F135" s="1">
        <v>45962</v>
      </c>
      <c r="G135" t="s">
        <v>17</v>
      </c>
      <c r="H135" s="2">
        <v>447390.71999999997</v>
      </c>
      <c r="I135" s="2">
        <v>432375.67</v>
      </c>
      <c r="J135" s="2">
        <v>446570.68</v>
      </c>
      <c r="K135" s="2">
        <v>442588.33</v>
      </c>
      <c r="L135" s="2">
        <f t="shared" si="8"/>
        <v>-15015.049999999988</v>
      </c>
      <c r="M135" s="4">
        <f t="shared" si="9"/>
        <v>-3.3561380084057152E-2</v>
      </c>
      <c r="N135" s="2">
        <f t="shared" si="10"/>
        <v>14195.010000000009</v>
      </c>
      <c r="O135" s="6">
        <f t="shared" si="11"/>
        <v>1.0328302700288385</v>
      </c>
    </row>
    <row r="136" spans="1:15" x14ac:dyDescent="0.2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s="1">
        <v>45962</v>
      </c>
      <c r="G136" t="s">
        <v>18</v>
      </c>
      <c r="H136" s="2">
        <v>375388.43</v>
      </c>
      <c r="I136" s="2">
        <v>379570.48</v>
      </c>
      <c r="J136" s="2">
        <v>377965.63</v>
      </c>
      <c r="K136" s="2">
        <v>380177.54</v>
      </c>
      <c r="L136" s="2">
        <f t="shared" si="8"/>
        <v>4182.0499999999884</v>
      </c>
      <c r="M136" s="4">
        <f t="shared" si="9"/>
        <v>1.1140593757777746E-2</v>
      </c>
      <c r="N136" s="2">
        <f t="shared" si="10"/>
        <v>-1604.8499999999767</v>
      </c>
      <c r="O136" s="6">
        <f t="shared" si="11"/>
        <v>0.99577193147370158</v>
      </c>
    </row>
    <row r="137" spans="1:15" x14ac:dyDescent="0.2">
      <c r="A137" t="s">
        <v>11</v>
      </c>
      <c r="B137" t="s">
        <v>12</v>
      </c>
      <c r="C137" t="s">
        <v>13</v>
      </c>
      <c r="D137" t="s">
        <v>14</v>
      </c>
      <c r="E137" t="s">
        <v>15</v>
      </c>
      <c r="F137" s="1">
        <v>45962</v>
      </c>
      <c r="G137" t="s">
        <v>19</v>
      </c>
      <c r="H137" s="2">
        <v>267472.78000000003</v>
      </c>
      <c r="I137" s="2">
        <v>272879.75</v>
      </c>
      <c r="J137" s="2">
        <v>274471.05</v>
      </c>
      <c r="K137" s="2">
        <v>274246.13</v>
      </c>
      <c r="L137" s="2">
        <f t="shared" si="8"/>
        <v>5406.9699999999721</v>
      </c>
      <c r="M137" s="4">
        <f t="shared" si="9"/>
        <v>2.0215028983509915E-2</v>
      </c>
      <c r="N137" s="2">
        <f t="shared" si="10"/>
        <v>1591.2999999999884</v>
      </c>
      <c r="O137" s="6">
        <f t="shared" si="11"/>
        <v>1.0058315063686476</v>
      </c>
    </row>
    <row r="138" spans="1:15" x14ac:dyDescent="0.2">
      <c r="A138" t="s">
        <v>11</v>
      </c>
      <c r="B138" t="s">
        <v>12</v>
      </c>
      <c r="C138" t="s">
        <v>13</v>
      </c>
      <c r="D138" t="s">
        <v>14</v>
      </c>
      <c r="E138" t="s">
        <v>15</v>
      </c>
      <c r="F138" s="1">
        <v>45962</v>
      </c>
      <c r="G138" t="s">
        <v>20</v>
      </c>
      <c r="H138" s="2">
        <v>64773.21</v>
      </c>
      <c r="I138" s="2">
        <v>64716.29</v>
      </c>
      <c r="J138" s="2">
        <v>66660.429999999993</v>
      </c>
      <c r="K138" s="2">
        <v>64346.91</v>
      </c>
      <c r="L138" s="2">
        <f t="shared" si="8"/>
        <v>-56.919999999998254</v>
      </c>
      <c r="M138" s="4">
        <f t="shared" si="9"/>
        <v>-8.7875836321834678E-4</v>
      </c>
      <c r="N138" s="2">
        <f t="shared" si="10"/>
        <v>1944.1399999999921</v>
      </c>
      <c r="O138" s="6">
        <f t="shared" si="11"/>
        <v>1.0300409680468394</v>
      </c>
    </row>
    <row r="139" spans="1:15" x14ac:dyDescent="0.2">
      <c r="A139" t="s">
        <v>11</v>
      </c>
      <c r="B139" t="s">
        <v>12</v>
      </c>
      <c r="C139" t="s">
        <v>13</v>
      </c>
      <c r="D139" t="s">
        <v>14</v>
      </c>
      <c r="E139" t="s">
        <v>15</v>
      </c>
      <c r="F139" s="1">
        <v>45962</v>
      </c>
      <c r="G139" t="s">
        <v>21</v>
      </c>
      <c r="H139" s="2">
        <v>94067.05</v>
      </c>
      <c r="I139" s="2">
        <v>90974.65</v>
      </c>
      <c r="J139" s="2">
        <v>91714.61</v>
      </c>
      <c r="K139" s="2">
        <v>91618.22</v>
      </c>
      <c r="L139" s="2">
        <f t="shared" si="8"/>
        <v>-3092.4000000000087</v>
      </c>
      <c r="M139" s="4">
        <f t="shared" si="9"/>
        <v>-3.287442308438511E-2</v>
      </c>
      <c r="N139" s="2">
        <f t="shared" si="10"/>
        <v>739.9600000000064</v>
      </c>
      <c r="O139" s="6">
        <f t="shared" si="11"/>
        <v>1.0081336943862933</v>
      </c>
    </row>
    <row r="140" spans="1:15" x14ac:dyDescent="0.2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 s="1">
        <v>45992</v>
      </c>
      <c r="G140" t="s">
        <v>16</v>
      </c>
      <c r="H140" s="2">
        <v>575484.46</v>
      </c>
      <c r="I140" s="2">
        <v>581911.72</v>
      </c>
      <c r="J140" s="2">
        <v>560994.47</v>
      </c>
      <c r="K140" s="2">
        <v>589303.31000000006</v>
      </c>
      <c r="L140" s="2">
        <f t="shared" si="8"/>
        <v>6427.2600000000093</v>
      </c>
      <c r="M140" s="4">
        <f t="shared" si="9"/>
        <v>1.1168433635896979E-2</v>
      </c>
      <c r="N140" s="2">
        <f t="shared" si="10"/>
        <v>-20917.25</v>
      </c>
      <c r="O140" s="6">
        <f t="shared" si="11"/>
        <v>0.96405425551490864</v>
      </c>
    </row>
    <row r="141" spans="1:15" x14ac:dyDescent="0.2">
      <c r="A141" t="s">
        <v>11</v>
      </c>
      <c r="B141" t="s">
        <v>12</v>
      </c>
      <c r="C141" t="s">
        <v>13</v>
      </c>
      <c r="D141" t="s">
        <v>14</v>
      </c>
      <c r="E141" t="s">
        <v>15</v>
      </c>
      <c r="F141" s="1">
        <v>45992</v>
      </c>
      <c r="G141" t="s">
        <v>17</v>
      </c>
      <c r="H141" s="2">
        <v>459916.49</v>
      </c>
      <c r="I141" s="2">
        <v>454961.56</v>
      </c>
      <c r="J141" s="2">
        <v>468529.08</v>
      </c>
      <c r="K141" s="2">
        <v>451878.23</v>
      </c>
      <c r="L141" s="2">
        <f t="shared" si="8"/>
        <v>-4954.929999999993</v>
      </c>
      <c r="M141" s="4">
        <f t="shared" si="9"/>
        <v>-1.0773542822958997E-2</v>
      </c>
      <c r="N141" s="2">
        <f t="shared" si="10"/>
        <v>13567.520000000019</v>
      </c>
      <c r="O141" s="6">
        <f t="shared" si="11"/>
        <v>1.0298212446783417</v>
      </c>
    </row>
    <row r="142" spans="1:15" x14ac:dyDescent="0.2">
      <c r="A142" t="s">
        <v>11</v>
      </c>
      <c r="B142" t="s">
        <v>12</v>
      </c>
      <c r="C142" t="s">
        <v>13</v>
      </c>
      <c r="D142" t="s">
        <v>14</v>
      </c>
      <c r="E142" t="s">
        <v>15</v>
      </c>
      <c r="F142" s="1">
        <v>45992</v>
      </c>
      <c r="G142" t="s">
        <v>18</v>
      </c>
      <c r="H142" s="2">
        <v>371539.13</v>
      </c>
      <c r="I142" s="2">
        <v>361988.23</v>
      </c>
      <c r="J142" s="2">
        <v>364745.23</v>
      </c>
      <c r="K142" s="2">
        <v>367204.25</v>
      </c>
      <c r="L142" s="2">
        <f t="shared" si="8"/>
        <v>-9550.9000000000233</v>
      </c>
      <c r="M142" s="4">
        <f t="shared" si="9"/>
        <v>-2.5706309857591644E-2</v>
      </c>
      <c r="N142" s="2">
        <f t="shared" si="10"/>
        <v>2757</v>
      </c>
      <c r="O142" s="6">
        <f t="shared" si="11"/>
        <v>1.007616269733411</v>
      </c>
    </row>
    <row r="143" spans="1:15" x14ac:dyDescent="0.2">
      <c r="A143" t="s">
        <v>11</v>
      </c>
      <c r="B143" t="s">
        <v>12</v>
      </c>
      <c r="C143" t="s">
        <v>13</v>
      </c>
      <c r="D143" t="s">
        <v>14</v>
      </c>
      <c r="E143" t="s">
        <v>15</v>
      </c>
      <c r="F143" s="1">
        <v>45992</v>
      </c>
      <c r="G143" t="s">
        <v>19</v>
      </c>
      <c r="H143" s="2">
        <v>274235.15999999997</v>
      </c>
      <c r="I143" s="2">
        <v>277680.63</v>
      </c>
      <c r="J143" s="2">
        <v>271068.34999999998</v>
      </c>
      <c r="K143" s="2">
        <v>275513.65000000002</v>
      </c>
      <c r="L143" s="2">
        <f t="shared" si="8"/>
        <v>3445.4700000000303</v>
      </c>
      <c r="M143" s="4">
        <f t="shared" si="9"/>
        <v>1.2563925063438366E-2</v>
      </c>
      <c r="N143" s="2">
        <f t="shared" si="10"/>
        <v>-6612.2800000000279</v>
      </c>
      <c r="O143" s="6">
        <f t="shared" si="11"/>
        <v>0.97618746399415746</v>
      </c>
    </row>
    <row r="144" spans="1:15" x14ac:dyDescent="0.2">
      <c r="A144" t="s">
        <v>11</v>
      </c>
      <c r="B144" t="s">
        <v>12</v>
      </c>
      <c r="C144" t="s">
        <v>13</v>
      </c>
      <c r="D144" t="s">
        <v>14</v>
      </c>
      <c r="E144" t="s">
        <v>15</v>
      </c>
      <c r="F144" s="1">
        <v>45992</v>
      </c>
      <c r="G144" t="s">
        <v>20</v>
      </c>
      <c r="H144" s="2">
        <v>64105.54</v>
      </c>
      <c r="I144" s="2">
        <v>62791.56</v>
      </c>
      <c r="J144" s="2">
        <v>64588.11</v>
      </c>
      <c r="K144" s="2">
        <v>62659.41</v>
      </c>
      <c r="L144" s="2">
        <f t="shared" si="8"/>
        <v>-1313.9800000000032</v>
      </c>
      <c r="M144" s="4">
        <f t="shared" si="9"/>
        <v>-2.0497136440937917E-2</v>
      </c>
      <c r="N144" s="2">
        <f t="shared" si="10"/>
        <v>1796.5500000000029</v>
      </c>
      <c r="O144" s="6">
        <f t="shared" si="11"/>
        <v>1.0286113292932999</v>
      </c>
    </row>
    <row r="145" spans="1:15" x14ac:dyDescent="0.2">
      <c r="A145" t="s">
        <v>11</v>
      </c>
      <c r="B145" t="s">
        <v>12</v>
      </c>
      <c r="C145" t="s">
        <v>13</v>
      </c>
      <c r="D145" t="s">
        <v>14</v>
      </c>
      <c r="E145" t="s">
        <v>15</v>
      </c>
      <c r="F145" s="1">
        <v>45992</v>
      </c>
      <c r="G145" t="s">
        <v>21</v>
      </c>
      <c r="H145" s="2">
        <v>96946.98</v>
      </c>
      <c r="I145" s="2">
        <v>98317.79</v>
      </c>
      <c r="J145" s="2">
        <v>94773.36</v>
      </c>
      <c r="K145" s="2">
        <v>98191.6</v>
      </c>
      <c r="L145" s="2">
        <f t="shared" si="8"/>
        <v>1370.8099999999977</v>
      </c>
      <c r="M145" s="4">
        <f t="shared" si="9"/>
        <v>1.4139790636077553E-2</v>
      </c>
      <c r="N145" s="2">
        <f t="shared" si="10"/>
        <v>-3544.429999999993</v>
      </c>
      <c r="O145" s="6">
        <f t="shared" si="11"/>
        <v>0.9639492506900329</v>
      </c>
    </row>
    <row r="146" spans="1:15" x14ac:dyDescent="0.2">
      <c r="A146" t="s">
        <v>22</v>
      </c>
      <c r="B146" t="s">
        <v>23</v>
      </c>
      <c r="C146" t="s">
        <v>13</v>
      </c>
      <c r="D146" t="s">
        <v>24</v>
      </c>
      <c r="E146" t="s">
        <v>25</v>
      </c>
      <c r="F146" s="1">
        <v>45292</v>
      </c>
      <c r="G146" t="s">
        <v>16</v>
      </c>
      <c r="H146" s="2">
        <v>421163.12</v>
      </c>
      <c r="I146" s="2">
        <v>435412.66</v>
      </c>
      <c r="J146" s="2">
        <v>415164.24</v>
      </c>
      <c r="K146" s="2">
        <v>425882.85</v>
      </c>
      <c r="L146" s="2">
        <f t="shared" si="8"/>
        <v>14249.539999999979</v>
      </c>
      <c r="M146" s="4">
        <f t="shared" si="9"/>
        <v>3.3833779178005847E-2</v>
      </c>
      <c r="N146" s="2">
        <f t="shared" si="10"/>
        <v>-20248.419999999984</v>
      </c>
      <c r="O146" s="6">
        <f t="shared" si="11"/>
        <v>0.95349602374905684</v>
      </c>
    </row>
    <row r="147" spans="1:15" x14ac:dyDescent="0.2">
      <c r="A147" t="s">
        <v>22</v>
      </c>
      <c r="B147" t="s">
        <v>23</v>
      </c>
      <c r="C147" t="s">
        <v>13</v>
      </c>
      <c r="D147" t="s">
        <v>24</v>
      </c>
      <c r="E147" t="s">
        <v>25</v>
      </c>
      <c r="F147" s="1">
        <v>45292</v>
      </c>
      <c r="G147" t="s">
        <v>17</v>
      </c>
      <c r="H147" s="2">
        <v>333455.95</v>
      </c>
      <c r="I147" s="2">
        <v>330242.63</v>
      </c>
      <c r="J147" s="2">
        <v>334033.37</v>
      </c>
      <c r="K147" s="2">
        <v>332206.78000000003</v>
      </c>
      <c r="L147" s="2">
        <f t="shared" si="8"/>
        <v>-3213.320000000007</v>
      </c>
      <c r="M147" s="4">
        <f t="shared" si="9"/>
        <v>-9.6364152446522747E-3</v>
      </c>
      <c r="N147" s="2">
        <f t="shared" si="10"/>
        <v>3790.7399999999907</v>
      </c>
      <c r="O147" s="6">
        <f t="shared" si="11"/>
        <v>1.011478651317669</v>
      </c>
    </row>
    <row r="148" spans="1:15" x14ac:dyDescent="0.2">
      <c r="A148" t="s">
        <v>22</v>
      </c>
      <c r="B148" t="s">
        <v>23</v>
      </c>
      <c r="C148" t="s">
        <v>13</v>
      </c>
      <c r="D148" t="s">
        <v>24</v>
      </c>
      <c r="E148" t="s">
        <v>25</v>
      </c>
      <c r="F148" s="1">
        <v>45292</v>
      </c>
      <c r="G148" t="s">
        <v>18</v>
      </c>
      <c r="H148" s="2">
        <v>273937.03000000003</v>
      </c>
      <c r="I148" s="2">
        <v>274156.90999999997</v>
      </c>
      <c r="J148" s="2">
        <v>276882.63</v>
      </c>
      <c r="K148" s="2">
        <v>277845.86</v>
      </c>
      <c r="L148" s="2">
        <f t="shared" si="8"/>
        <v>219.87999999994645</v>
      </c>
      <c r="M148" s="4">
        <f t="shared" si="9"/>
        <v>8.0266621858295843E-4</v>
      </c>
      <c r="N148" s="2">
        <f t="shared" si="10"/>
        <v>2725.7200000000303</v>
      </c>
      <c r="O148" s="6">
        <f t="shared" si="11"/>
        <v>1.0099421896752485</v>
      </c>
    </row>
    <row r="149" spans="1:15" x14ac:dyDescent="0.2">
      <c r="A149" t="s">
        <v>22</v>
      </c>
      <c r="B149" t="s">
        <v>23</v>
      </c>
      <c r="C149" t="s">
        <v>13</v>
      </c>
      <c r="D149" t="s">
        <v>24</v>
      </c>
      <c r="E149" t="s">
        <v>25</v>
      </c>
      <c r="F149" s="1">
        <v>45292</v>
      </c>
      <c r="G149" t="s">
        <v>19</v>
      </c>
      <c r="H149" s="2">
        <v>192653.52</v>
      </c>
      <c r="I149" s="2">
        <v>190677.41</v>
      </c>
      <c r="J149" s="2">
        <v>191032.02</v>
      </c>
      <c r="K149" s="2">
        <v>190763.8</v>
      </c>
      <c r="L149" s="2">
        <f t="shared" si="8"/>
        <v>-1976.109999999986</v>
      </c>
      <c r="M149" s="4">
        <f t="shared" si="9"/>
        <v>-1.0257326209248531E-2</v>
      </c>
      <c r="N149" s="2">
        <f t="shared" si="10"/>
        <v>354.60999999998603</v>
      </c>
      <c r="O149" s="6">
        <f t="shared" si="11"/>
        <v>1.0018597378682665</v>
      </c>
    </row>
    <row r="150" spans="1:15" x14ac:dyDescent="0.2">
      <c r="A150" t="s">
        <v>22</v>
      </c>
      <c r="B150" t="s">
        <v>23</v>
      </c>
      <c r="C150" t="s">
        <v>13</v>
      </c>
      <c r="D150" t="s">
        <v>24</v>
      </c>
      <c r="E150" t="s">
        <v>25</v>
      </c>
      <c r="F150" s="1">
        <v>45292</v>
      </c>
      <c r="G150" t="s">
        <v>20</v>
      </c>
      <c r="H150" s="2">
        <v>47241.89</v>
      </c>
      <c r="I150" s="2">
        <v>48585.53</v>
      </c>
      <c r="J150" s="2">
        <v>47354.62</v>
      </c>
      <c r="K150" s="2">
        <v>47792.26</v>
      </c>
      <c r="L150" s="2">
        <f t="shared" si="8"/>
        <v>1343.6399999999994</v>
      </c>
      <c r="M150" s="4">
        <f t="shared" si="9"/>
        <v>2.8441707137457868E-2</v>
      </c>
      <c r="N150" s="2">
        <f t="shared" si="10"/>
        <v>-1230.9099999999962</v>
      </c>
      <c r="O150" s="6">
        <f t="shared" si="11"/>
        <v>0.97466509061442785</v>
      </c>
    </row>
    <row r="151" spans="1:15" x14ac:dyDescent="0.2">
      <c r="A151" t="s">
        <v>22</v>
      </c>
      <c r="B151" t="s">
        <v>23</v>
      </c>
      <c r="C151" t="s">
        <v>13</v>
      </c>
      <c r="D151" t="s">
        <v>24</v>
      </c>
      <c r="E151" t="s">
        <v>25</v>
      </c>
      <c r="F151" s="1">
        <v>45292</v>
      </c>
      <c r="G151" t="s">
        <v>21</v>
      </c>
      <c r="H151" s="2">
        <v>71403.61</v>
      </c>
      <c r="I151" s="2">
        <v>70616.86</v>
      </c>
      <c r="J151" s="2">
        <v>72090.34</v>
      </c>
      <c r="K151" s="2">
        <v>71635.960000000006</v>
      </c>
      <c r="L151" s="2">
        <f t="shared" si="8"/>
        <v>-786.75</v>
      </c>
      <c r="M151" s="4">
        <f t="shared" si="9"/>
        <v>-1.1018350472756209E-2</v>
      </c>
      <c r="N151" s="2">
        <f t="shared" si="10"/>
        <v>1473.4799999999959</v>
      </c>
      <c r="O151" s="6">
        <f t="shared" si="11"/>
        <v>1.020865838554702</v>
      </c>
    </row>
    <row r="152" spans="1:15" x14ac:dyDescent="0.2">
      <c r="A152" t="s">
        <v>22</v>
      </c>
      <c r="B152" t="s">
        <v>23</v>
      </c>
      <c r="C152" t="s">
        <v>13</v>
      </c>
      <c r="D152" t="s">
        <v>24</v>
      </c>
      <c r="E152" t="s">
        <v>25</v>
      </c>
      <c r="F152" s="1">
        <v>45323</v>
      </c>
      <c r="G152" t="s">
        <v>16</v>
      </c>
      <c r="H152" s="2">
        <v>442418.42</v>
      </c>
      <c r="I152" s="2">
        <v>439705.53</v>
      </c>
      <c r="J152" s="2">
        <v>448227.94</v>
      </c>
      <c r="K152" s="2">
        <v>446424.56</v>
      </c>
      <c r="L152" s="2">
        <f t="shared" si="8"/>
        <v>-2712.8899999999558</v>
      </c>
      <c r="M152" s="4">
        <f t="shared" si="9"/>
        <v>-6.1319553557466159E-3</v>
      </c>
      <c r="N152" s="2">
        <f t="shared" si="10"/>
        <v>8522.4099999999744</v>
      </c>
      <c r="O152" s="6">
        <f t="shared" si="11"/>
        <v>1.0193820850968147</v>
      </c>
    </row>
    <row r="153" spans="1:15" x14ac:dyDescent="0.2">
      <c r="A153" t="s">
        <v>22</v>
      </c>
      <c r="B153" t="s">
        <v>23</v>
      </c>
      <c r="C153" t="s">
        <v>13</v>
      </c>
      <c r="D153" t="s">
        <v>24</v>
      </c>
      <c r="E153" t="s">
        <v>25</v>
      </c>
      <c r="F153" s="1">
        <v>45323</v>
      </c>
      <c r="G153" t="s">
        <v>17</v>
      </c>
      <c r="H153" s="2">
        <v>336413.32</v>
      </c>
      <c r="I153" s="2">
        <v>347625.88</v>
      </c>
      <c r="J153" s="2">
        <v>338565.52</v>
      </c>
      <c r="K153" s="2">
        <v>339706.39</v>
      </c>
      <c r="L153" s="2">
        <f t="shared" si="8"/>
        <v>11212.559999999998</v>
      </c>
      <c r="M153" s="4">
        <f t="shared" si="9"/>
        <v>3.3329714768725559E-2</v>
      </c>
      <c r="N153" s="2">
        <f t="shared" si="10"/>
        <v>-9060.359999999986</v>
      </c>
      <c r="O153" s="6">
        <f t="shared" si="11"/>
        <v>0.97393646295839653</v>
      </c>
    </row>
    <row r="154" spans="1:15" x14ac:dyDescent="0.2">
      <c r="A154" t="s">
        <v>22</v>
      </c>
      <c r="B154" t="s">
        <v>23</v>
      </c>
      <c r="C154" t="s">
        <v>13</v>
      </c>
      <c r="D154" t="s">
        <v>24</v>
      </c>
      <c r="E154" t="s">
        <v>25</v>
      </c>
      <c r="F154" s="1">
        <v>45323</v>
      </c>
      <c r="G154" t="s">
        <v>18</v>
      </c>
      <c r="H154" s="2">
        <v>263165.3</v>
      </c>
      <c r="I154" s="2">
        <v>266954.73</v>
      </c>
      <c r="J154" s="2">
        <v>262230.27</v>
      </c>
      <c r="K154" s="2">
        <v>267174.44</v>
      </c>
      <c r="L154" s="2">
        <f t="shared" si="8"/>
        <v>3789.429999999993</v>
      </c>
      <c r="M154" s="4">
        <f t="shared" si="9"/>
        <v>1.4399428800073539E-2</v>
      </c>
      <c r="N154" s="2">
        <f t="shared" si="10"/>
        <v>-4724.4599999999627</v>
      </c>
      <c r="O154" s="6">
        <f t="shared" si="11"/>
        <v>0.9823023926191532</v>
      </c>
    </row>
    <row r="155" spans="1:15" x14ac:dyDescent="0.2">
      <c r="A155" t="s">
        <v>22</v>
      </c>
      <c r="B155" t="s">
        <v>23</v>
      </c>
      <c r="C155" t="s">
        <v>13</v>
      </c>
      <c r="D155" t="s">
        <v>24</v>
      </c>
      <c r="E155" t="s">
        <v>25</v>
      </c>
      <c r="F155" s="1">
        <v>45323</v>
      </c>
      <c r="G155" t="s">
        <v>19</v>
      </c>
      <c r="H155" s="2">
        <v>197213.64</v>
      </c>
      <c r="I155" s="2">
        <v>195932.43</v>
      </c>
      <c r="J155" s="2">
        <v>193810.65</v>
      </c>
      <c r="K155" s="2">
        <v>194330.66</v>
      </c>
      <c r="L155" s="2">
        <f t="shared" si="8"/>
        <v>-1281.210000000021</v>
      </c>
      <c r="M155" s="4">
        <f t="shared" si="9"/>
        <v>-6.4965587572949866E-3</v>
      </c>
      <c r="N155" s="2">
        <f t="shared" si="10"/>
        <v>-2121.7799999999988</v>
      </c>
      <c r="O155" s="6">
        <f t="shared" si="11"/>
        <v>0.98917085854546893</v>
      </c>
    </row>
    <row r="156" spans="1:15" x14ac:dyDescent="0.2">
      <c r="A156" t="s">
        <v>22</v>
      </c>
      <c r="B156" t="s">
        <v>23</v>
      </c>
      <c r="C156" t="s">
        <v>13</v>
      </c>
      <c r="D156" t="s">
        <v>24</v>
      </c>
      <c r="E156" t="s">
        <v>25</v>
      </c>
      <c r="F156" s="1">
        <v>45323</v>
      </c>
      <c r="G156" t="s">
        <v>20</v>
      </c>
      <c r="H156" s="2">
        <v>47591.67</v>
      </c>
      <c r="I156" s="2">
        <v>46072.68</v>
      </c>
      <c r="J156" s="2">
        <v>47690.01</v>
      </c>
      <c r="K156" s="2">
        <v>46723.360000000001</v>
      </c>
      <c r="L156" s="2">
        <f t="shared" si="8"/>
        <v>-1518.989999999998</v>
      </c>
      <c r="M156" s="4">
        <f t="shared" si="9"/>
        <v>-3.1917140121369938E-2</v>
      </c>
      <c r="N156" s="2">
        <f t="shared" si="10"/>
        <v>1617.3300000000017</v>
      </c>
      <c r="O156" s="6">
        <f t="shared" si="11"/>
        <v>1.035103883689857</v>
      </c>
    </row>
    <row r="157" spans="1:15" x14ac:dyDescent="0.2">
      <c r="A157" t="s">
        <v>22</v>
      </c>
      <c r="B157" t="s">
        <v>23</v>
      </c>
      <c r="C157" t="s">
        <v>13</v>
      </c>
      <c r="D157" t="s">
        <v>24</v>
      </c>
      <c r="E157" t="s">
        <v>25</v>
      </c>
      <c r="F157" s="1">
        <v>45323</v>
      </c>
      <c r="G157" t="s">
        <v>21</v>
      </c>
      <c r="H157" s="2">
        <v>69577.81</v>
      </c>
      <c r="I157" s="2">
        <v>69933.990000000005</v>
      </c>
      <c r="J157" s="2">
        <v>71332.95</v>
      </c>
      <c r="K157" s="2">
        <v>69408.58</v>
      </c>
      <c r="L157" s="2">
        <f t="shared" si="8"/>
        <v>356.18000000000757</v>
      </c>
      <c r="M157" s="4">
        <f t="shared" si="9"/>
        <v>5.1191608359045446E-3</v>
      </c>
      <c r="N157" s="2">
        <f t="shared" si="10"/>
        <v>1398.9599999999919</v>
      </c>
      <c r="O157" s="6">
        <f t="shared" si="11"/>
        <v>1.0200040066353999</v>
      </c>
    </row>
    <row r="158" spans="1:15" x14ac:dyDescent="0.2">
      <c r="A158" t="s">
        <v>22</v>
      </c>
      <c r="B158" t="s">
        <v>23</v>
      </c>
      <c r="C158" t="s">
        <v>13</v>
      </c>
      <c r="D158" t="s">
        <v>24</v>
      </c>
      <c r="E158" t="s">
        <v>25</v>
      </c>
      <c r="F158" s="1">
        <v>45352</v>
      </c>
      <c r="G158" t="s">
        <v>16</v>
      </c>
      <c r="H158" s="2">
        <v>422483.09</v>
      </c>
      <c r="I158" s="2">
        <v>415601.08</v>
      </c>
      <c r="J158" s="2">
        <v>422758.18</v>
      </c>
      <c r="K158" s="2">
        <v>415781.7</v>
      </c>
      <c r="L158" s="2">
        <f t="shared" si="8"/>
        <v>-6882.0100000000093</v>
      </c>
      <c r="M158" s="4">
        <f t="shared" si="9"/>
        <v>-1.6289433027958607E-2</v>
      </c>
      <c r="N158" s="2">
        <f t="shared" si="10"/>
        <v>7157.0999999999767</v>
      </c>
      <c r="O158" s="6">
        <f t="shared" si="11"/>
        <v>1.0172210813311648</v>
      </c>
    </row>
    <row r="159" spans="1:15" x14ac:dyDescent="0.2">
      <c r="A159" t="s">
        <v>22</v>
      </c>
      <c r="B159" t="s">
        <v>23</v>
      </c>
      <c r="C159" t="s">
        <v>13</v>
      </c>
      <c r="D159" t="s">
        <v>24</v>
      </c>
      <c r="E159" t="s">
        <v>25</v>
      </c>
      <c r="F159" s="1">
        <v>45352</v>
      </c>
      <c r="G159" t="s">
        <v>17</v>
      </c>
      <c r="H159" s="2">
        <v>348291.33</v>
      </c>
      <c r="I159" s="2">
        <v>342420.56</v>
      </c>
      <c r="J159" s="2">
        <v>338845.3</v>
      </c>
      <c r="K159" s="2">
        <v>349027.1</v>
      </c>
      <c r="L159" s="2">
        <f t="shared" si="8"/>
        <v>-5870.7700000000186</v>
      </c>
      <c r="M159" s="4">
        <f t="shared" si="9"/>
        <v>-1.6855917716929729E-2</v>
      </c>
      <c r="N159" s="2">
        <f t="shared" si="10"/>
        <v>-3575.2600000000093</v>
      </c>
      <c r="O159" s="6">
        <f t="shared" si="11"/>
        <v>0.98955886293743578</v>
      </c>
    </row>
    <row r="160" spans="1:15" x14ac:dyDescent="0.2">
      <c r="A160" t="s">
        <v>22</v>
      </c>
      <c r="B160" t="s">
        <v>23</v>
      </c>
      <c r="C160" t="s">
        <v>13</v>
      </c>
      <c r="D160" t="s">
        <v>24</v>
      </c>
      <c r="E160" t="s">
        <v>25</v>
      </c>
      <c r="F160" s="1">
        <v>45352</v>
      </c>
      <c r="G160" t="s">
        <v>18</v>
      </c>
      <c r="H160" s="2">
        <v>266403.94</v>
      </c>
      <c r="I160" s="2">
        <v>266915.06</v>
      </c>
      <c r="J160" s="2">
        <v>261636.93</v>
      </c>
      <c r="K160" s="2">
        <v>270962.65999999997</v>
      </c>
      <c r="L160" s="2">
        <f t="shared" si="8"/>
        <v>511.11999999999534</v>
      </c>
      <c r="M160" s="4">
        <f t="shared" si="9"/>
        <v>1.9185902430722134E-3</v>
      </c>
      <c r="N160" s="2">
        <f t="shared" si="10"/>
        <v>-5278.1300000000047</v>
      </c>
      <c r="O160" s="6">
        <f t="shared" si="11"/>
        <v>0.98022543201571311</v>
      </c>
    </row>
    <row r="161" spans="1:15" x14ac:dyDescent="0.2">
      <c r="A161" t="s">
        <v>22</v>
      </c>
      <c r="B161" t="s">
        <v>23</v>
      </c>
      <c r="C161" t="s">
        <v>13</v>
      </c>
      <c r="D161" t="s">
        <v>24</v>
      </c>
      <c r="E161" t="s">
        <v>25</v>
      </c>
      <c r="F161" s="1">
        <v>45352</v>
      </c>
      <c r="G161" t="s">
        <v>19</v>
      </c>
      <c r="H161" s="2">
        <v>201930.54</v>
      </c>
      <c r="I161" s="2">
        <v>207486.81</v>
      </c>
      <c r="J161" s="2">
        <v>207858.99</v>
      </c>
      <c r="K161" s="2">
        <v>206760.46</v>
      </c>
      <c r="L161" s="2">
        <f t="shared" si="8"/>
        <v>5556.2699999999895</v>
      </c>
      <c r="M161" s="4">
        <f t="shared" si="9"/>
        <v>2.7515748732212519E-2</v>
      </c>
      <c r="N161" s="2">
        <f t="shared" si="10"/>
        <v>372.17999999999302</v>
      </c>
      <c r="O161" s="6">
        <f t="shared" si="11"/>
        <v>1.0017937525763685</v>
      </c>
    </row>
    <row r="162" spans="1:15" x14ac:dyDescent="0.2">
      <c r="A162" t="s">
        <v>22</v>
      </c>
      <c r="B162" t="s">
        <v>23</v>
      </c>
      <c r="C162" t="s">
        <v>13</v>
      </c>
      <c r="D162" t="s">
        <v>24</v>
      </c>
      <c r="E162" t="s">
        <v>25</v>
      </c>
      <c r="F162" s="1">
        <v>45352</v>
      </c>
      <c r="G162" t="s">
        <v>20</v>
      </c>
      <c r="H162" s="2">
        <v>47259.3</v>
      </c>
      <c r="I162" s="2">
        <v>47554.68</v>
      </c>
      <c r="J162" s="2">
        <v>46553.66</v>
      </c>
      <c r="K162" s="2">
        <v>47584.23</v>
      </c>
      <c r="L162" s="2">
        <f t="shared" si="8"/>
        <v>295.37999999999738</v>
      </c>
      <c r="M162" s="4">
        <f t="shared" si="9"/>
        <v>6.2501983736533836E-3</v>
      </c>
      <c r="N162" s="2">
        <f t="shared" si="10"/>
        <v>-1001.0199999999968</v>
      </c>
      <c r="O162" s="6">
        <f t="shared" si="11"/>
        <v>0.97895012646494528</v>
      </c>
    </row>
    <row r="163" spans="1:15" x14ac:dyDescent="0.2">
      <c r="A163" t="s">
        <v>22</v>
      </c>
      <c r="B163" t="s">
        <v>23</v>
      </c>
      <c r="C163" t="s">
        <v>13</v>
      </c>
      <c r="D163" t="s">
        <v>24</v>
      </c>
      <c r="E163" t="s">
        <v>25</v>
      </c>
      <c r="F163" s="1">
        <v>45352</v>
      </c>
      <c r="G163" t="s">
        <v>21</v>
      </c>
      <c r="H163" s="2">
        <v>72337.38</v>
      </c>
      <c r="I163" s="2">
        <v>71095.839999999997</v>
      </c>
      <c r="J163" s="2">
        <v>71817.42</v>
      </c>
      <c r="K163" s="2">
        <v>72288.5</v>
      </c>
      <c r="L163" s="2">
        <f t="shared" si="8"/>
        <v>-1241.5400000000081</v>
      </c>
      <c r="M163" s="4">
        <f t="shared" si="9"/>
        <v>-1.7163187276066787E-2</v>
      </c>
      <c r="N163" s="2">
        <f t="shared" si="10"/>
        <v>721.58000000000175</v>
      </c>
      <c r="O163" s="6">
        <f t="shared" si="11"/>
        <v>1.0101493983332921</v>
      </c>
    </row>
    <row r="164" spans="1:15" x14ac:dyDescent="0.2">
      <c r="A164" t="s">
        <v>22</v>
      </c>
      <c r="B164" t="s">
        <v>23</v>
      </c>
      <c r="C164" t="s">
        <v>13</v>
      </c>
      <c r="D164" t="s">
        <v>24</v>
      </c>
      <c r="E164" t="s">
        <v>25</v>
      </c>
      <c r="F164" s="1">
        <v>45383</v>
      </c>
      <c r="G164" t="s">
        <v>16</v>
      </c>
      <c r="H164" s="2">
        <v>448622.79</v>
      </c>
      <c r="I164" s="2">
        <v>464062.93</v>
      </c>
      <c r="J164" s="2">
        <v>444507.9</v>
      </c>
      <c r="K164" s="2">
        <v>458208.87</v>
      </c>
      <c r="L164" s="2">
        <f t="shared" si="8"/>
        <v>15440.140000000014</v>
      </c>
      <c r="M164" s="4">
        <f t="shared" si="9"/>
        <v>3.4416753549234569E-2</v>
      </c>
      <c r="N164" s="2">
        <f t="shared" si="10"/>
        <v>-19555.02999999997</v>
      </c>
      <c r="O164" s="6">
        <f t="shared" si="11"/>
        <v>0.95786125386054866</v>
      </c>
    </row>
    <row r="165" spans="1:15" x14ac:dyDescent="0.2">
      <c r="A165" t="s">
        <v>22</v>
      </c>
      <c r="B165" t="s">
        <v>23</v>
      </c>
      <c r="C165" t="s">
        <v>13</v>
      </c>
      <c r="D165" t="s">
        <v>24</v>
      </c>
      <c r="E165" t="s">
        <v>25</v>
      </c>
      <c r="F165" s="1">
        <v>45383</v>
      </c>
      <c r="G165" t="s">
        <v>17</v>
      </c>
      <c r="H165" s="2">
        <v>353598.5</v>
      </c>
      <c r="I165" s="2">
        <v>354045.13</v>
      </c>
      <c r="J165" s="2">
        <v>345238.77</v>
      </c>
      <c r="K165" s="2">
        <v>358970.34</v>
      </c>
      <c r="L165" s="2">
        <f t="shared" si="8"/>
        <v>446.63000000000466</v>
      </c>
      <c r="M165" s="4">
        <f t="shared" si="9"/>
        <v>1.2630992495726216E-3</v>
      </c>
      <c r="N165" s="2">
        <f t="shared" si="10"/>
        <v>-8806.359999999986</v>
      </c>
      <c r="O165" s="6">
        <f t="shared" si="11"/>
        <v>0.97512644786273439</v>
      </c>
    </row>
    <row r="166" spans="1:15" x14ac:dyDescent="0.2">
      <c r="A166" t="s">
        <v>22</v>
      </c>
      <c r="B166" t="s">
        <v>23</v>
      </c>
      <c r="C166" t="s">
        <v>13</v>
      </c>
      <c r="D166" t="s">
        <v>24</v>
      </c>
      <c r="E166" t="s">
        <v>25</v>
      </c>
      <c r="F166" s="1">
        <v>45383</v>
      </c>
      <c r="G166" t="s">
        <v>18</v>
      </c>
      <c r="H166" s="2">
        <v>269338.89</v>
      </c>
      <c r="I166" s="2">
        <v>263697.39</v>
      </c>
      <c r="J166" s="2">
        <v>269465.27</v>
      </c>
      <c r="K166" s="2">
        <v>268285.53999999998</v>
      </c>
      <c r="L166" s="2">
        <f t="shared" si="8"/>
        <v>-5641.5</v>
      </c>
      <c r="M166" s="4">
        <f t="shared" si="9"/>
        <v>-2.094573123101532E-2</v>
      </c>
      <c r="N166" s="2">
        <f t="shared" si="10"/>
        <v>5767.8800000000047</v>
      </c>
      <c r="O166" s="6">
        <f t="shared" si="11"/>
        <v>1.021873102346595</v>
      </c>
    </row>
    <row r="167" spans="1:15" x14ac:dyDescent="0.2">
      <c r="A167" t="s">
        <v>22</v>
      </c>
      <c r="B167" t="s">
        <v>23</v>
      </c>
      <c r="C167" t="s">
        <v>13</v>
      </c>
      <c r="D167" t="s">
        <v>24</v>
      </c>
      <c r="E167" t="s">
        <v>25</v>
      </c>
      <c r="F167" s="1">
        <v>45383</v>
      </c>
      <c r="G167" t="s">
        <v>19</v>
      </c>
      <c r="H167" s="2">
        <v>192716.01</v>
      </c>
      <c r="I167" s="2">
        <v>191666.51</v>
      </c>
      <c r="J167" s="2">
        <v>195710.78</v>
      </c>
      <c r="K167" s="2">
        <v>193997.07</v>
      </c>
      <c r="L167" s="2">
        <f t="shared" si="8"/>
        <v>-1049.5</v>
      </c>
      <c r="M167" s="4">
        <f t="shared" si="9"/>
        <v>-5.44583711545294E-3</v>
      </c>
      <c r="N167" s="2">
        <f t="shared" si="10"/>
        <v>4044.2699999999895</v>
      </c>
      <c r="O167" s="6">
        <f t="shared" si="11"/>
        <v>1.0211005563778461</v>
      </c>
    </row>
    <row r="168" spans="1:15" x14ac:dyDescent="0.2">
      <c r="A168" t="s">
        <v>22</v>
      </c>
      <c r="B168" t="s">
        <v>23</v>
      </c>
      <c r="C168" t="s">
        <v>13</v>
      </c>
      <c r="D168" t="s">
        <v>24</v>
      </c>
      <c r="E168" t="s">
        <v>25</v>
      </c>
      <c r="F168" s="1">
        <v>45383</v>
      </c>
      <c r="G168" t="s">
        <v>20</v>
      </c>
      <c r="H168" s="2">
        <v>46667.53</v>
      </c>
      <c r="I168" s="2">
        <v>45770.559999999998</v>
      </c>
      <c r="J168" s="2">
        <v>46725.72</v>
      </c>
      <c r="K168" s="2">
        <v>46409.59</v>
      </c>
      <c r="L168" s="2">
        <f t="shared" si="8"/>
        <v>-896.97000000000116</v>
      </c>
      <c r="M168" s="4">
        <f t="shared" si="9"/>
        <v>-1.9220430136328216E-2</v>
      </c>
      <c r="N168" s="2">
        <f t="shared" si="10"/>
        <v>955.16000000000349</v>
      </c>
      <c r="O168" s="6">
        <f t="shared" si="11"/>
        <v>1.020868435955339</v>
      </c>
    </row>
    <row r="169" spans="1:15" x14ac:dyDescent="0.2">
      <c r="A169" t="s">
        <v>22</v>
      </c>
      <c r="B169" t="s">
        <v>23</v>
      </c>
      <c r="C169" t="s">
        <v>13</v>
      </c>
      <c r="D169" t="s">
        <v>24</v>
      </c>
      <c r="E169" t="s">
        <v>25</v>
      </c>
      <c r="F169" s="1">
        <v>45383</v>
      </c>
      <c r="G169" t="s">
        <v>21</v>
      </c>
      <c r="H169" s="2">
        <v>73894.34</v>
      </c>
      <c r="I169" s="2">
        <v>76378.16</v>
      </c>
      <c r="J169" s="2">
        <v>71735.34</v>
      </c>
      <c r="K169" s="2">
        <v>76123.199999999997</v>
      </c>
      <c r="L169" s="2">
        <f t="shared" si="8"/>
        <v>2483.820000000007</v>
      </c>
      <c r="M169" s="4">
        <f t="shared" si="9"/>
        <v>3.3613129232902099E-2</v>
      </c>
      <c r="N169" s="2">
        <f t="shared" si="10"/>
        <v>-4642.820000000007</v>
      </c>
      <c r="O169" s="6">
        <f t="shared" si="11"/>
        <v>0.93921272782690746</v>
      </c>
    </row>
    <row r="170" spans="1:15" x14ac:dyDescent="0.2">
      <c r="A170" t="s">
        <v>22</v>
      </c>
      <c r="B170" t="s">
        <v>23</v>
      </c>
      <c r="C170" t="s">
        <v>13</v>
      </c>
      <c r="D170" t="s">
        <v>24</v>
      </c>
      <c r="E170" t="s">
        <v>25</v>
      </c>
      <c r="F170" s="1">
        <v>45413</v>
      </c>
      <c r="G170" t="s">
        <v>16</v>
      </c>
      <c r="H170" s="2">
        <v>434177.8</v>
      </c>
      <c r="I170" s="2">
        <v>447201.7</v>
      </c>
      <c r="J170" s="2">
        <v>441010.73</v>
      </c>
      <c r="K170" s="2">
        <v>448297.69</v>
      </c>
      <c r="L170" s="2">
        <f t="shared" si="8"/>
        <v>13023.900000000023</v>
      </c>
      <c r="M170" s="4">
        <f t="shared" si="9"/>
        <v>2.9996697205614896E-2</v>
      </c>
      <c r="N170" s="2">
        <f t="shared" si="10"/>
        <v>-6190.9700000000303</v>
      </c>
      <c r="O170" s="6">
        <f t="shared" si="11"/>
        <v>0.98615620200012655</v>
      </c>
    </row>
    <row r="171" spans="1:15" x14ac:dyDescent="0.2">
      <c r="A171" t="s">
        <v>22</v>
      </c>
      <c r="B171" t="s">
        <v>23</v>
      </c>
      <c r="C171" t="s">
        <v>13</v>
      </c>
      <c r="D171" t="s">
        <v>24</v>
      </c>
      <c r="E171" t="s">
        <v>25</v>
      </c>
      <c r="F171" s="1">
        <v>45413</v>
      </c>
      <c r="G171" t="s">
        <v>17</v>
      </c>
      <c r="H171" s="2">
        <v>344011.69</v>
      </c>
      <c r="I171" s="2">
        <v>335119.48</v>
      </c>
      <c r="J171" s="2">
        <v>338524.69</v>
      </c>
      <c r="K171" s="2">
        <v>338213.66</v>
      </c>
      <c r="L171" s="2">
        <f t="shared" si="8"/>
        <v>-8892.210000000021</v>
      </c>
      <c r="M171" s="4">
        <f t="shared" si="9"/>
        <v>-2.584856927391049E-2</v>
      </c>
      <c r="N171" s="2">
        <f t="shared" si="10"/>
        <v>3405.210000000021</v>
      </c>
      <c r="O171" s="6">
        <f t="shared" si="11"/>
        <v>1.0101611819163721</v>
      </c>
    </row>
    <row r="172" spans="1:15" x14ac:dyDescent="0.2">
      <c r="A172" t="s">
        <v>22</v>
      </c>
      <c r="B172" t="s">
        <v>23</v>
      </c>
      <c r="C172" t="s">
        <v>13</v>
      </c>
      <c r="D172" t="s">
        <v>24</v>
      </c>
      <c r="E172" t="s">
        <v>25</v>
      </c>
      <c r="F172" s="1">
        <v>45413</v>
      </c>
      <c r="G172" t="s">
        <v>18</v>
      </c>
      <c r="H172" s="2">
        <v>279033.58</v>
      </c>
      <c r="I172" s="2">
        <v>273366.57</v>
      </c>
      <c r="J172" s="2">
        <v>283327.5</v>
      </c>
      <c r="K172" s="2">
        <v>272768.92</v>
      </c>
      <c r="L172" s="2">
        <f t="shared" si="8"/>
        <v>-5667.0100000000093</v>
      </c>
      <c r="M172" s="4">
        <f t="shared" si="9"/>
        <v>-2.0309419389594647E-2</v>
      </c>
      <c r="N172" s="2">
        <f t="shared" si="10"/>
        <v>9960.929999999993</v>
      </c>
      <c r="O172" s="6">
        <f t="shared" si="11"/>
        <v>1.0364379960578207</v>
      </c>
    </row>
    <row r="173" spans="1:15" x14ac:dyDescent="0.2">
      <c r="A173" t="s">
        <v>22</v>
      </c>
      <c r="B173" t="s">
        <v>23</v>
      </c>
      <c r="C173" t="s">
        <v>13</v>
      </c>
      <c r="D173" t="s">
        <v>24</v>
      </c>
      <c r="E173" t="s">
        <v>25</v>
      </c>
      <c r="F173" s="1">
        <v>45413</v>
      </c>
      <c r="G173" t="s">
        <v>19</v>
      </c>
      <c r="H173" s="2">
        <v>206845.29</v>
      </c>
      <c r="I173" s="2">
        <v>201936.8</v>
      </c>
      <c r="J173" s="2">
        <v>202505.37</v>
      </c>
      <c r="K173" s="2">
        <v>201613.34</v>
      </c>
      <c r="L173" s="2">
        <f t="shared" si="8"/>
        <v>-4908.4900000000198</v>
      </c>
      <c r="M173" s="4">
        <f t="shared" si="9"/>
        <v>-2.3730247858194012E-2</v>
      </c>
      <c r="N173" s="2">
        <f t="shared" si="10"/>
        <v>568.57000000000698</v>
      </c>
      <c r="O173" s="6">
        <f t="shared" si="11"/>
        <v>1.0028155838856514</v>
      </c>
    </row>
    <row r="174" spans="1:15" x14ac:dyDescent="0.2">
      <c r="A174" t="s">
        <v>22</v>
      </c>
      <c r="B174" t="s">
        <v>23</v>
      </c>
      <c r="C174" t="s">
        <v>13</v>
      </c>
      <c r="D174" t="s">
        <v>24</v>
      </c>
      <c r="E174" t="s">
        <v>25</v>
      </c>
      <c r="F174" s="1">
        <v>45413</v>
      </c>
      <c r="G174" t="s">
        <v>20</v>
      </c>
      <c r="H174" s="2">
        <v>46865.02</v>
      </c>
      <c r="I174" s="2">
        <v>48081.120000000003</v>
      </c>
      <c r="J174" s="2">
        <v>45469.56</v>
      </c>
      <c r="K174" s="2">
        <v>47543.06</v>
      </c>
      <c r="L174" s="2">
        <f t="shared" si="8"/>
        <v>1216.1000000000058</v>
      </c>
      <c r="M174" s="4">
        <f t="shared" si="9"/>
        <v>2.5948991379924853E-2</v>
      </c>
      <c r="N174" s="2">
        <f t="shared" si="10"/>
        <v>-2611.5600000000049</v>
      </c>
      <c r="O174" s="6">
        <f t="shared" si="11"/>
        <v>0.9456842935439107</v>
      </c>
    </row>
    <row r="175" spans="1:15" x14ac:dyDescent="0.2">
      <c r="A175" t="s">
        <v>22</v>
      </c>
      <c r="B175" t="s">
        <v>23</v>
      </c>
      <c r="C175" t="s">
        <v>13</v>
      </c>
      <c r="D175" t="s">
        <v>24</v>
      </c>
      <c r="E175" t="s">
        <v>25</v>
      </c>
      <c r="F175" s="1">
        <v>45413</v>
      </c>
      <c r="G175" t="s">
        <v>21</v>
      </c>
      <c r="H175" s="2">
        <v>74904.960000000006</v>
      </c>
      <c r="I175" s="2">
        <v>75592.23</v>
      </c>
      <c r="J175" s="2">
        <v>75343.039999999994</v>
      </c>
      <c r="K175" s="2">
        <v>74654.13</v>
      </c>
      <c r="L175" s="2">
        <f t="shared" si="8"/>
        <v>687.26999999998952</v>
      </c>
      <c r="M175" s="4">
        <f t="shared" si="9"/>
        <v>9.1752268474609624E-3</v>
      </c>
      <c r="N175" s="2">
        <f t="shared" si="10"/>
        <v>-249.19000000000233</v>
      </c>
      <c r="O175" s="6">
        <f t="shared" si="11"/>
        <v>0.99670349717160078</v>
      </c>
    </row>
    <row r="176" spans="1:15" x14ac:dyDescent="0.2">
      <c r="A176" t="s">
        <v>22</v>
      </c>
      <c r="B176" t="s">
        <v>23</v>
      </c>
      <c r="C176" t="s">
        <v>13</v>
      </c>
      <c r="D176" t="s">
        <v>24</v>
      </c>
      <c r="E176" t="s">
        <v>25</v>
      </c>
      <c r="F176" s="1">
        <v>45444</v>
      </c>
      <c r="G176" t="s">
        <v>16</v>
      </c>
      <c r="H176" s="2">
        <v>453478.5</v>
      </c>
      <c r="I176" s="2">
        <v>450461.35</v>
      </c>
      <c r="J176" s="2">
        <v>452587.91</v>
      </c>
      <c r="K176" s="2">
        <v>452941.81</v>
      </c>
      <c r="L176" s="2">
        <f t="shared" si="8"/>
        <v>-3017.1500000000233</v>
      </c>
      <c r="M176" s="4">
        <f t="shared" si="9"/>
        <v>-6.6533474023576051E-3</v>
      </c>
      <c r="N176" s="2">
        <f t="shared" si="10"/>
        <v>2126.5599999999977</v>
      </c>
      <c r="O176" s="6">
        <f t="shared" si="11"/>
        <v>1.0047208489696176</v>
      </c>
    </row>
    <row r="177" spans="1:15" x14ac:dyDescent="0.2">
      <c r="A177" t="s">
        <v>22</v>
      </c>
      <c r="B177" t="s">
        <v>23</v>
      </c>
      <c r="C177" t="s">
        <v>13</v>
      </c>
      <c r="D177" t="s">
        <v>24</v>
      </c>
      <c r="E177" t="s">
        <v>25</v>
      </c>
      <c r="F177" s="1">
        <v>45444</v>
      </c>
      <c r="G177" t="s">
        <v>17</v>
      </c>
      <c r="H177" s="2">
        <v>342599.33</v>
      </c>
      <c r="I177" s="2">
        <v>334585.03000000003</v>
      </c>
      <c r="J177" s="2">
        <v>332581.96000000002</v>
      </c>
      <c r="K177" s="2">
        <v>337503.13</v>
      </c>
      <c r="L177" s="2">
        <f t="shared" si="8"/>
        <v>-8014.2999999999884</v>
      </c>
      <c r="M177" s="4">
        <f t="shared" si="9"/>
        <v>-2.339263185365829E-2</v>
      </c>
      <c r="N177" s="2">
        <f t="shared" si="10"/>
        <v>-2003.070000000007</v>
      </c>
      <c r="O177" s="6">
        <f t="shared" si="11"/>
        <v>0.99401327070729972</v>
      </c>
    </row>
    <row r="178" spans="1:15" x14ac:dyDescent="0.2">
      <c r="A178" t="s">
        <v>22</v>
      </c>
      <c r="B178" t="s">
        <v>23</v>
      </c>
      <c r="C178" t="s">
        <v>13</v>
      </c>
      <c r="D178" t="s">
        <v>24</v>
      </c>
      <c r="E178" t="s">
        <v>25</v>
      </c>
      <c r="F178" s="1">
        <v>45444</v>
      </c>
      <c r="G178" t="s">
        <v>18</v>
      </c>
      <c r="H178" s="2">
        <v>276522.96000000002</v>
      </c>
      <c r="I178" s="2">
        <v>285257.43</v>
      </c>
      <c r="J178" s="2">
        <v>281662.15000000002</v>
      </c>
      <c r="K178" s="2">
        <v>280408.90999999997</v>
      </c>
      <c r="L178" s="2">
        <f t="shared" si="8"/>
        <v>8734.4699999999721</v>
      </c>
      <c r="M178" s="4">
        <f t="shared" si="9"/>
        <v>3.1586780352705512E-2</v>
      </c>
      <c r="N178" s="2">
        <f t="shared" si="10"/>
        <v>-3595.2799999999697</v>
      </c>
      <c r="O178" s="6">
        <f t="shared" si="11"/>
        <v>0.9873963668536172</v>
      </c>
    </row>
    <row r="179" spans="1:15" x14ac:dyDescent="0.2">
      <c r="A179" t="s">
        <v>22</v>
      </c>
      <c r="B179" t="s">
        <v>23</v>
      </c>
      <c r="C179" t="s">
        <v>13</v>
      </c>
      <c r="D179" t="s">
        <v>24</v>
      </c>
      <c r="E179" t="s">
        <v>25</v>
      </c>
      <c r="F179" s="1">
        <v>45444</v>
      </c>
      <c r="G179" t="s">
        <v>19</v>
      </c>
      <c r="H179" s="2">
        <v>195315.81</v>
      </c>
      <c r="I179" s="2">
        <v>194861.7</v>
      </c>
      <c r="J179" s="2">
        <v>196692.53</v>
      </c>
      <c r="K179" s="2">
        <v>196347.34</v>
      </c>
      <c r="L179" s="2">
        <f t="shared" si="8"/>
        <v>-454.10999999998603</v>
      </c>
      <c r="M179" s="4">
        <f t="shared" si="9"/>
        <v>-2.325003797695568E-3</v>
      </c>
      <c r="N179" s="2">
        <f t="shared" si="10"/>
        <v>1830.8299999999872</v>
      </c>
      <c r="O179" s="6">
        <f t="shared" si="11"/>
        <v>1.0093955353976691</v>
      </c>
    </row>
    <row r="180" spans="1:15" x14ac:dyDescent="0.2">
      <c r="A180" t="s">
        <v>22</v>
      </c>
      <c r="B180" t="s">
        <v>23</v>
      </c>
      <c r="C180" t="s">
        <v>13</v>
      </c>
      <c r="D180" t="s">
        <v>24</v>
      </c>
      <c r="E180" t="s">
        <v>25</v>
      </c>
      <c r="F180" s="1">
        <v>45444</v>
      </c>
      <c r="G180" t="s">
        <v>20</v>
      </c>
      <c r="H180" s="2">
        <v>46362.04</v>
      </c>
      <c r="I180" s="2">
        <v>46646.73</v>
      </c>
      <c r="J180" s="2">
        <v>46918.33</v>
      </c>
      <c r="K180" s="2">
        <v>46896.4</v>
      </c>
      <c r="L180" s="2">
        <f t="shared" si="8"/>
        <v>284.69000000000233</v>
      </c>
      <c r="M180" s="4">
        <f t="shared" si="9"/>
        <v>6.1405839777542645E-3</v>
      </c>
      <c r="N180" s="2">
        <f t="shared" si="10"/>
        <v>271.59999999999854</v>
      </c>
      <c r="O180" s="6">
        <f t="shared" si="11"/>
        <v>1.0058224874498169</v>
      </c>
    </row>
    <row r="181" spans="1:15" x14ac:dyDescent="0.2">
      <c r="A181" t="s">
        <v>22</v>
      </c>
      <c r="B181" t="s">
        <v>23</v>
      </c>
      <c r="C181" t="s">
        <v>13</v>
      </c>
      <c r="D181" t="s">
        <v>24</v>
      </c>
      <c r="E181" t="s">
        <v>25</v>
      </c>
      <c r="F181" s="1">
        <v>45444</v>
      </c>
      <c r="G181" t="s">
        <v>21</v>
      </c>
      <c r="H181" s="2">
        <v>75941.58</v>
      </c>
      <c r="I181" s="2">
        <v>75203.98</v>
      </c>
      <c r="J181" s="2">
        <v>75608.210000000006</v>
      </c>
      <c r="K181" s="2">
        <v>75082.960000000006</v>
      </c>
      <c r="L181" s="2">
        <f t="shared" si="8"/>
        <v>-737.60000000000582</v>
      </c>
      <c r="M181" s="4">
        <f t="shared" si="9"/>
        <v>-9.7127291794561789E-3</v>
      </c>
      <c r="N181" s="2">
        <f t="shared" si="10"/>
        <v>404.23000000001048</v>
      </c>
      <c r="O181" s="6">
        <f t="shared" si="11"/>
        <v>1.0053751144553786</v>
      </c>
    </row>
    <row r="182" spans="1:15" x14ac:dyDescent="0.2">
      <c r="A182" t="s">
        <v>22</v>
      </c>
      <c r="B182" t="s">
        <v>23</v>
      </c>
      <c r="C182" t="s">
        <v>13</v>
      </c>
      <c r="D182" t="s">
        <v>24</v>
      </c>
      <c r="E182" t="s">
        <v>25</v>
      </c>
      <c r="F182" s="1">
        <v>45474</v>
      </c>
      <c r="G182" t="s">
        <v>16</v>
      </c>
      <c r="H182" s="2">
        <v>447792.97</v>
      </c>
      <c r="I182" s="2">
        <v>445743.69</v>
      </c>
      <c r="J182" s="2">
        <v>456942.89</v>
      </c>
      <c r="K182" s="2">
        <v>451283.52</v>
      </c>
      <c r="L182" s="2">
        <f t="shared" si="8"/>
        <v>-2049.2799999999697</v>
      </c>
      <c r="M182" s="4">
        <f t="shared" si="9"/>
        <v>-4.5764005629654481E-3</v>
      </c>
      <c r="N182" s="2">
        <f t="shared" si="10"/>
        <v>11199.200000000012</v>
      </c>
      <c r="O182" s="6">
        <f t="shared" si="11"/>
        <v>1.0251247527474814</v>
      </c>
    </row>
    <row r="183" spans="1:15" x14ac:dyDescent="0.2">
      <c r="A183" t="s">
        <v>22</v>
      </c>
      <c r="B183" t="s">
        <v>23</v>
      </c>
      <c r="C183" t="s">
        <v>13</v>
      </c>
      <c r="D183" t="s">
        <v>24</v>
      </c>
      <c r="E183" t="s">
        <v>25</v>
      </c>
      <c r="F183" s="1">
        <v>45474</v>
      </c>
      <c r="G183" t="s">
        <v>17</v>
      </c>
      <c r="H183" s="2">
        <v>344425.5</v>
      </c>
      <c r="I183" s="2">
        <v>347698.34</v>
      </c>
      <c r="J183" s="2">
        <v>341513.02</v>
      </c>
      <c r="K183" s="2">
        <v>351032.06</v>
      </c>
      <c r="L183" s="2">
        <f t="shared" si="8"/>
        <v>3272.8400000000256</v>
      </c>
      <c r="M183" s="4">
        <f t="shared" si="9"/>
        <v>9.5023161757768395E-3</v>
      </c>
      <c r="N183" s="2">
        <f t="shared" si="10"/>
        <v>-6185.320000000007</v>
      </c>
      <c r="O183" s="6">
        <f t="shared" si="11"/>
        <v>0.982210671468837</v>
      </c>
    </row>
    <row r="184" spans="1:15" x14ac:dyDescent="0.2">
      <c r="A184" t="s">
        <v>22</v>
      </c>
      <c r="B184" t="s">
        <v>23</v>
      </c>
      <c r="C184" t="s">
        <v>13</v>
      </c>
      <c r="D184" t="s">
        <v>24</v>
      </c>
      <c r="E184" t="s">
        <v>25</v>
      </c>
      <c r="F184" s="1">
        <v>45474</v>
      </c>
      <c r="G184" t="s">
        <v>18</v>
      </c>
      <c r="H184" s="2">
        <v>289658.34999999998</v>
      </c>
      <c r="I184" s="2">
        <v>299477.37</v>
      </c>
      <c r="J184" s="2">
        <v>288759.09000000003</v>
      </c>
      <c r="K184" s="2">
        <v>297761.11</v>
      </c>
      <c r="L184" s="2">
        <f t="shared" si="8"/>
        <v>9819.0200000000186</v>
      </c>
      <c r="M184" s="4">
        <f t="shared" si="9"/>
        <v>3.3898625743052184E-2</v>
      </c>
      <c r="N184" s="2">
        <f t="shared" si="10"/>
        <v>-10718.27999999997</v>
      </c>
      <c r="O184" s="6">
        <f t="shared" si="11"/>
        <v>0.96421005032867768</v>
      </c>
    </row>
    <row r="185" spans="1:15" x14ac:dyDescent="0.2">
      <c r="A185" t="s">
        <v>22</v>
      </c>
      <c r="B185" t="s">
        <v>23</v>
      </c>
      <c r="C185" t="s">
        <v>13</v>
      </c>
      <c r="D185" t="s">
        <v>24</v>
      </c>
      <c r="E185" t="s">
        <v>25</v>
      </c>
      <c r="F185" s="1">
        <v>45474</v>
      </c>
      <c r="G185" t="s">
        <v>19</v>
      </c>
      <c r="H185" s="2">
        <v>201642.53</v>
      </c>
      <c r="I185" s="2">
        <v>206965.13</v>
      </c>
      <c r="J185" s="2">
        <v>204414.06</v>
      </c>
      <c r="K185" s="2">
        <v>208061.59</v>
      </c>
      <c r="L185" s="2">
        <f t="shared" si="8"/>
        <v>5322.6000000000058</v>
      </c>
      <c r="M185" s="4">
        <f t="shared" si="9"/>
        <v>2.6396217107571531E-2</v>
      </c>
      <c r="N185" s="2">
        <f t="shared" si="10"/>
        <v>-2551.070000000007</v>
      </c>
      <c r="O185" s="6">
        <f t="shared" si="11"/>
        <v>0.98767391395835613</v>
      </c>
    </row>
    <row r="186" spans="1:15" x14ac:dyDescent="0.2">
      <c r="A186" t="s">
        <v>22</v>
      </c>
      <c r="B186" t="s">
        <v>23</v>
      </c>
      <c r="C186" t="s">
        <v>13</v>
      </c>
      <c r="D186" t="s">
        <v>24</v>
      </c>
      <c r="E186" t="s">
        <v>25</v>
      </c>
      <c r="F186" s="1">
        <v>45474</v>
      </c>
      <c r="G186" t="s">
        <v>20</v>
      </c>
      <c r="H186" s="2">
        <v>48271.82</v>
      </c>
      <c r="I186" s="2">
        <v>48888.23</v>
      </c>
      <c r="J186" s="2">
        <v>47621.99</v>
      </c>
      <c r="K186" s="2">
        <v>49171.09</v>
      </c>
      <c r="L186" s="2">
        <f t="shared" si="8"/>
        <v>616.41000000000349</v>
      </c>
      <c r="M186" s="4">
        <f t="shared" si="9"/>
        <v>1.2769562034329832E-2</v>
      </c>
      <c r="N186" s="2">
        <f t="shared" si="10"/>
        <v>-1266.2400000000052</v>
      </c>
      <c r="O186" s="6">
        <f t="shared" si="11"/>
        <v>0.97409928729266726</v>
      </c>
    </row>
    <row r="187" spans="1:15" x14ac:dyDescent="0.2">
      <c r="A187" t="s">
        <v>22</v>
      </c>
      <c r="B187" t="s">
        <v>23</v>
      </c>
      <c r="C187" t="s">
        <v>13</v>
      </c>
      <c r="D187" t="s">
        <v>24</v>
      </c>
      <c r="E187" t="s">
        <v>25</v>
      </c>
      <c r="F187" s="1">
        <v>45474</v>
      </c>
      <c r="G187" t="s">
        <v>21</v>
      </c>
      <c r="H187" s="2">
        <v>73526.59</v>
      </c>
      <c r="I187" s="2">
        <v>75519.75</v>
      </c>
      <c r="J187" s="2">
        <v>72555.12</v>
      </c>
      <c r="K187" s="2">
        <v>75917.63</v>
      </c>
      <c r="L187" s="2">
        <f t="shared" si="8"/>
        <v>1993.1600000000035</v>
      </c>
      <c r="M187" s="4">
        <f t="shared" si="9"/>
        <v>2.7108016297233473E-2</v>
      </c>
      <c r="N187" s="2">
        <f t="shared" si="10"/>
        <v>-2964.6300000000047</v>
      </c>
      <c r="O187" s="6">
        <f t="shared" si="11"/>
        <v>0.96074364652955013</v>
      </c>
    </row>
    <row r="188" spans="1:15" x14ac:dyDescent="0.2">
      <c r="A188" t="s">
        <v>22</v>
      </c>
      <c r="B188" t="s">
        <v>23</v>
      </c>
      <c r="C188" t="s">
        <v>13</v>
      </c>
      <c r="D188" t="s">
        <v>24</v>
      </c>
      <c r="E188" t="s">
        <v>25</v>
      </c>
      <c r="F188" s="1">
        <v>45505</v>
      </c>
      <c r="G188" t="s">
        <v>16</v>
      </c>
      <c r="H188" s="2">
        <v>443963.02</v>
      </c>
      <c r="I188" s="2">
        <v>483236.15</v>
      </c>
      <c r="J188" s="2">
        <v>438861.61</v>
      </c>
      <c r="K188" s="2">
        <v>468049.48</v>
      </c>
      <c r="L188" s="2">
        <f t="shared" si="8"/>
        <v>39273.130000000005</v>
      </c>
      <c r="M188" s="4">
        <f t="shared" si="9"/>
        <v>8.8460363207728432E-2</v>
      </c>
      <c r="N188" s="2">
        <f t="shared" si="10"/>
        <v>-44374.540000000037</v>
      </c>
      <c r="O188" s="6">
        <f t="shared" si="11"/>
        <v>0.908172143164372</v>
      </c>
    </row>
    <row r="189" spans="1:15" x14ac:dyDescent="0.2">
      <c r="A189" t="s">
        <v>22</v>
      </c>
      <c r="B189" t="s">
        <v>23</v>
      </c>
      <c r="C189" t="s">
        <v>13</v>
      </c>
      <c r="D189" t="s">
        <v>24</v>
      </c>
      <c r="E189" t="s">
        <v>25</v>
      </c>
      <c r="F189" s="1">
        <v>45505</v>
      </c>
      <c r="G189" t="s">
        <v>17</v>
      </c>
      <c r="H189" s="2">
        <v>349566.66</v>
      </c>
      <c r="I189" s="2">
        <v>349179.66</v>
      </c>
      <c r="J189" s="2">
        <v>354327.95</v>
      </c>
      <c r="K189" s="2">
        <v>346211.4</v>
      </c>
      <c r="L189" s="2">
        <f t="shared" si="8"/>
        <v>-387</v>
      </c>
      <c r="M189" s="4">
        <f t="shared" si="9"/>
        <v>-1.1070849834477923E-3</v>
      </c>
      <c r="N189" s="2">
        <f t="shared" si="10"/>
        <v>5148.2900000000373</v>
      </c>
      <c r="O189" s="6">
        <f t="shared" si="11"/>
        <v>1.0147439573083954</v>
      </c>
    </row>
    <row r="190" spans="1:15" x14ac:dyDescent="0.2">
      <c r="A190" t="s">
        <v>22</v>
      </c>
      <c r="B190" t="s">
        <v>23</v>
      </c>
      <c r="C190" t="s">
        <v>13</v>
      </c>
      <c r="D190" t="s">
        <v>24</v>
      </c>
      <c r="E190" t="s">
        <v>25</v>
      </c>
      <c r="F190" s="1">
        <v>45505</v>
      </c>
      <c r="G190" t="s">
        <v>18</v>
      </c>
      <c r="H190" s="2">
        <v>289928.96999999997</v>
      </c>
      <c r="I190" s="2">
        <v>298029.95</v>
      </c>
      <c r="J190" s="2">
        <v>284762.15000000002</v>
      </c>
      <c r="K190" s="2">
        <v>292431.06</v>
      </c>
      <c r="L190" s="2">
        <f t="shared" si="8"/>
        <v>8100.9800000000396</v>
      </c>
      <c r="M190" s="4">
        <f t="shared" si="9"/>
        <v>2.7941257474201491E-2</v>
      </c>
      <c r="N190" s="2">
        <f t="shared" si="10"/>
        <v>-13267.799999999988</v>
      </c>
      <c r="O190" s="6">
        <f t="shared" si="11"/>
        <v>0.95548165545107133</v>
      </c>
    </row>
    <row r="191" spans="1:15" x14ac:dyDescent="0.2">
      <c r="A191" t="s">
        <v>22</v>
      </c>
      <c r="B191" t="s">
        <v>23</v>
      </c>
      <c r="C191" t="s">
        <v>13</v>
      </c>
      <c r="D191" t="s">
        <v>24</v>
      </c>
      <c r="E191" t="s">
        <v>25</v>
      </c>
      <c r="F191" s="1">
        <v>45505</v>
      </c>
      <c r="G191" t="s">
        <v>19</v>
      </c>
      <c r="H191" s="2">
        <v>204802.95</v>
      </c>
      <c r="I191" s="2">
        <v>202004.48000000001</v>
      </c>
      <c r="J191" s="2">
        <v>207058.03</v>
      </c>
      <c r="K191" s="2">
        <v>201260.48</v>
      </c>
      <c r="L191" s="2">
        <f t="shared" si="8"/>
        <v>-2798.4700000000012</v>
      </c>
      <c r="M191" s="4">
        <f t="shared" si="9"/>
        <v>-1.3664207473573994E-2</v>
      </c>
      <c r="N191" s="2">
        <f t="shared" si="10"/>
        <v>5053.5499999999884</v>
      </c>
      <c r="O191" s="6">
        <f t="shared" si="11"/>
        <v>1.0250170194245196</v>
      </c>
    </row>
    <row r="192" spans="1:15" x14ac:dyDescent="0.2">
      <c r="A192" t="s">
        <v>22</v>
      </c>
      <c r="B192" t="s">
        <v>23</v>
      </c>
      <c r="C192" t="s">
        <v>13</v>
      </c>
      <c r="D192" t="s">
        <v>24</v>
      </c>
      <c r="E192" t="s">
        <v>25</v>
      </c>
      <c r="F192" s="1">
        <v>45505</v>
      </c>
      <c r="G192" t="s">
        <v>20</v>
      </c>
      <c r="H192" s="2">
        <v>48615.5</v>
      </c>
      <c r="I192" s="2">
        <v>49228.63</v>
      </c>
      <c r="J192" s="2">
        <v>47908.29</v>
      </c>
      <c r="K192" s="2">
        <v>49882.42</v>
      </c>
      <c r="L192" s="2">
        <f t="shared" si="8"/>
        <v>613.12999999999738</v>
      </c>
      <c r="M192" s="4">
        <f t="shared" si="9"/>
        <v>1.2611821332702479E-2</v>
      </c>
      <c r="N192" s="2">
        <f t="shared" si="10"/>
        <v>-1320.3399999999965</v>
      </c>
      <c r="O192" s="6">
        <f t="shared" si="11"/>
        <v>0.97317942831234594</v>
      </c>
    </row>
    <row r="193" spans="1:15" x14ac:dyDescent="0.2">
      <c r="A193" t="s">
        <v>22</v>
      </c>
      <c r="B193" t="s">
        <v>23</v>
      </c>
      <c r="C193" t="s">
        <v>13</v>
      </c>
      <c r="D193" t="s">
        <v>24</v>
      </c>
      <c r="E193" t="s">
        <v>25</v>
      </c>
      <c r="F193" s="1">
        <v>45505</v>
      </c>
      <c r="G193" t="s">
        <v>21</v>
      </c>
      <c r="H193" s="2">
        <v>76689.2</v>
      </c>
      <c r="I193" s="2">
        <v>76775.649999999994</v>
      </c>
      <c r="J193" s="2">
        <v>75721.38</v>
      </c>
      <c r="K193" s="2">
        <v>76553.14</v>
      </c>
      <c r="L193" s="2">
        <f t="shared" si="8"/>
        <v>86.44999999999709</v>
      </c>
      <c r="M193" s="4">
        <f t="shared" si="9"/>
        <v>1.1272773741282617E-3</v>
      </c>
      <c r="N193" s="2">
        <f t="shared" si="10"/>
        <v>-1054.2699999999895</v>
      </c>
      <c r="O193" s="6">
        <f t="shared" si="11"/>
        <v>0.98626817226555563</v>
      </c>
    </row>
    <row r="194" spans="1:15" x14ac:dyDescent="0.2">
      <c r="A194" t="s">
        <v>22</v>
      </c>
      <c r="B194" t="s">
        <v>23</v>
      </c>
      <c r="C194" t="s">
        <v>13</v>
      </c>
      <c r="D194" t="s">
        <v>24</v>
      </c>
      <c r="E194" t="s">
        <v>25</v>
      </c>
      <c r="F194" s="1">
        <v>45536</v>
      </c>
      <c r="G194" t="s">
        <v>16</v>
      </c>
      <c r="H194" s="2">
        <v>446756.23</v>
      </c>
      <c r="I194" s="2">
        <v>491925.76000000001</v>
      </c>
      <c r="J194" s="2">
        <v>434113.46</v>
      </c>
      <c r="K194" s="2">
        <v>477637.41</v>
      </c>
      <c r="L194" s="2">
        <f t="shared" ref="L194:L257" si="12">I194-H194</f>
        <v>45169.530000000028</v>
      </c>
      <c r="M194" s="4">
        <f t="shared" ref="M194:M257" si="13">L194/H194</f>
        <v>0.10110554026297525</v>
      </c>
      <c r="N194" s="2">
        <f t="shared" ref="N194:N257" si="14">J194-I194</f>
        <v>-57812.299999999988</v>
      </c>
      <c r="O194" s="6">
        <f t="shared" ref="O194:O257" si="15">J194/I194</f>
        <v>0.88247759174067242</v>
      </c>
    </row>
    <row r="195" spans="1:15" x14ac:dyDescent="0.2">
      <c r="A195" t="s">
        <v>22</v>
      </c>
      <c r="B195" t="s">
        <v>23</v>
      </c>
      <c r="C195" t="s">
        <v>13</v>
      </c>
      <c r="D195" t="s">
        <v>24</v>
      </c>
      <c r="E195" t="s">
        <v>25</v>
      </c>
      <c r="F195" s="1">
        <v>45536</v>
      </c>
      <c r="G195" t="s">
        <v>17</v>
      </c>
      <c r="H195" s="2">
        <v>353168.45</v>
      </c>
      <c r="I195" s="2">
        <v>350375.18</v>
      </c>
      <c r="J195" s="2">
        <v>345311.08</v>
      </c>
      <c r="K195" s="2">
        <v>347940</v>
      </c>
      <c r="L195" s="2">
        <f t="shared" si="12"/>
        <v>-2793.2700000000186</v>
      </c>
      <c r="M195" s="4">
        <f t="shared" si="13"/>
        <v>-7.9091719546296353E-3</v>
      </c>
      <c r="N195" s="2">
        <f t="shared" si="14"/>
        <v>-5064.0999999999767</v>
      </c>
      <c r="O195" s="6">
        <f t="shared" si="15"/>
        <v>0.98554663603740433</v>
      </c>
    </row>
    <row r="196" spans="1:15" x14ac:dyDescent="0.2">
      <c r="A196" t="s">
        <v>22</v>
      </c>
      <c r="B196" t="s">
        <v>23</v>
      </c>
      <c r="C196" t="s">
        <v>13</v>
      </c>
      <c r="D196" t="s">
        <v>24</v>
      </c>
      <c r="E196" t="s">
        <v>25</v>
      </c>
      <c r="F196" s="1">
        <v>45536</v>
      </c>
      <c r="G196" t="s">
        <v>18</v>
      </c>
      <c r="H196" s="2">
        <v>289469.58</v>
      </c>
      <c r="I196" s="2">
        <v>283199.09999999998</v>
      </c>
      <c r="J196" s="2">
        <v>293586.59999999998</v>
      </c>
      <c r="K196" s="2">
        <v>289805.89</v>
      </c>
      <c r="L196" s="2">
        <f t="shared" si="12"/>
        <v>-6270.4800000000396</v>
      </c>
      <c r="M196" s="4">
        <f t="shared" si="13"/>
        <v>-2.166196530910101E-2</v>
      </c>
      <c r="N196" s="2">
        <f t="shared" si="14"/>
        <v>10387.5</v>
      </c>
      <c r="O196" s="6">
        <f t="shared" si="15"/>
        <v>1.0366791419887986</v>
      </c>
    </row>
    <row r="197" spans="1:15" x14ac:dyDescent="0.2">
      <c r="A197" t="s">
        <v>22</v>
      </c>
      <c r="B197" t="s">
        <v>23</v>
      </c>
      <c r="C197" t="s">
        <v>13</v>
      </c>
      <c r="D197" t="s">
        <v>24</v>
      </c>
      <c r="E197" t="s">
        <v>25</v>
      </c>
      <c r="F197" s="1">
        <v>45536</v>
      </c>
      <c r="G197" t="s">
        <v>19</v>
      </c>
      <c r="H197" s="2">
        <v>207380.67</v>
      </c>
      <c r="I197" s="2">
        <v>210541.11</v>
      </c>
      <c r="J197" s="2">
        <v>210293.15</v>
      </c>
      <c r="K197" s="2">
        <v>208353.91</v>
      </c>
      <c r="L197" s="2">
        <f t="shared" si="12"/>
        <v>3160.4399999999732</v>
      </c>
      <c r="M197" s="4">
        <f t="shared" si="13"/>
        <v>1.5239800315043697E-2</v>
      </c>
      <c r="N197" s="2">
        <f t="shared" si="14"/>
        <v>-247.95999999999185</v>
      </c>
      <c r="O197" s="6">
        <f t="shared" si="15"/>
        <v>0.99882227276183744</v>
      </c>
    </row>
    <row r="198" spans="1:15" x14ac:dyDescent="0.2">
      <c r="A198" t="s">
        <v>22</v>
      </c>
      <c r="B198" t="s">
        <v>23</v>
      </c>
      <c r="C198" t="s">
        <v>13</v>
      </c>
      <c r="D198" t="s">
        <v>24</v>
      </c>
      <c r="E198" t="s">
        <v>25</v>
      </c>
      <c r="F198" s="1">
        <v>45536</v>
      </c>
      <c r="G198" t="s">
        <v>20</v>
      </c>
      <c r="H198" s="2">
        <v>50249.59</v>
      </c>
      <c r="I198" s="2">
        <v>51874.69</v>
      </c>
      <c r="J198" s="2">
        <v>49851.72</v>
      </c>
      <c r="K198" s="2">
        <v>51680.44</v>
      </c>
      <c r="L198" s="2">
        <f t="shared" si="12"/>
        <v>1625.1000000000058</v>
      </c>
      <c r="M198" s="4">
        <f t="shared" si="13"/>
        <v>3.23405623807081E-2</v>
      </c>
      <c r="N198" s="2">
        <f t="shared" si="14"/>
        <v>-2022.9700000000012</v>
      </c>
      <c r="O198" s="6">
        <f t="shared" si="15"/>
        <v>0.96100275490802933</v>
      </c>
    </row>
    <row r="199" spans="1:15" x14ac:dyDescent="0.2">
      <c r="A199" t="s">
        <v>22</v>
      </c>
      <c r="B199" t="s">
        <v>23</v>
      </c>
      <c r="C199" t="s">
        <v>13</v>
      </c>
      <c r="D199" t="s">
        <v>24</v>
      </c>
      <c r="E199" t="s">
        <v>25</v>
      </c>
      <c r="F199" s="1">
        <v>45536</v>
      </c>
      <c r="G199" t="s">
        <v>21</v>
      </c>
      <c r="H199" s="2">
        <v>74395.16</v>
      </c>
      <c r="I199" s="2">
        <v>72183.039999999994</v>
      </c>
      <c r="J199" s="2">
        <v>74419.58</v>
      </c>
      <c r="K199" s="2">
        <v>72120.02</v>
      </c>
      <c r="L199" s="2">
        <f t="shared" si="12"/>
        <v>-2212.1200000000099</v>
      </c>
      <c r="M199" s="4">
        <f t="shared" si="13"/>
        <v>-2.973473005501984E-2</v>
      </c>
      <c r="N199" s="2">
        <f t="shared" si="14"/>
        <v>2236.5400000000081</v>
      </c>
      <c r="O199" s="6">
        <f t="shared" si="15"/>
        <v>1.030984286613587</v>
      </c>
    </row>
    <row r="200" spans="1:15" x14ac:dyDescent="0.2">
      <c r="A200" t="s">
        <v>22</v>
      </c>
      <c r="B200" t="s">
        <v>23</v>
      </c>
      <c r="C200" t="s">
        <v>13</v>
      </c>
      <c r="D200" t="s">
        <v>24</v>
      </c>
      <c r="E200" t="s">
        <v>25</v>
      </c>
      <c r="F200" s="1">
        <v>45566</v>
      </c>
      <c r="G200" t="s">
        <v>16</v>
      </c>
      <c r="H200" s="2">
        <v>455585.62</v>
      </c>
      <c r="I200" s="2">
        <v>483275.02</v>
      </c>
      <c r="J200" s="2">
        <v>444217.81</v>
      </c>
      <c r="K200" s="2">
        <v>470386.19</v>
      </c>
      <c r="L200" s="2">
        <f t="shared" si="12"/>
        <v>27689.400000000023</v>
      </c>
      <c r="M200" s="4">
        <f t="shared" si="13"/>
        <v>6.0777598731057453E-2</v>
      </c>
      <c r="N200" s="2">
        <f t="shared" si="14"/>
        <v>-39057.210000000021</v>
      </c>
      <c r="O200" s="6">
        <f t="shared" si="15"/>
        <v>0.91918222878558875</v>
      </c>
    </row>
    <row r="201" spans="1:15" x14ac:dyDescent="0.2">
      <c r="A201" t="s">
        <v>22</v>
      </c>
      <c r="B201" t="s">
        <v>23</v>
      </c>
      <c r="C201" t="s">
        <v>13</v>
      </c>
      <c r="D201" t="s">
        <v>24</v>
      </c>
      <c r="E201" t="s">
        <v>25</v>
      </c>
      <c r="F201" s="1">
        <v>45566</v>
      </c>
      <c r="G201" t="s">
        <v>17</v>
      </c>
      <c r="H201" s="2">
        <v>363025.47</v>
      </c>
      <c r="I201" s="2">
        <v>355107.51</v>
      </c>
      <c r="J201" s="2">
        <v>371544.83</v>
      </c>
      <c r="K201" s="2">
        <v>361409.51</v>
      </c>
      <c r="L201" s="2">
        <f t="shared" si="12"/>
        <v>-7917.9599999999627</v>
      </c>
      <c r="M201" s="4">
        <f t="shared" si="13"/>
        <v>-2.1811031606129353E-2</v>
      </c>
      <c r="N201" s="2">
        <f t="shared" si="14"/>
        <v>16437.320000000007</v>
      </c>
      <c r="O201" s="6">
        <f t="shared" si="15"/>
        <v>1.0462882916782019</v>
      </c>
    </row>
    <row r="202" spans="1:15" x14ac:dyDescent="0.2">
      <c r="A202" t="s">
        <v>22</v>
      </c>
      <c r="B202" t="s">
        <v>23</v>
      </c>
      <c r="C202" t="s">
        <v>13</v>
      </c>
      <c r="D202" t="s">
        <v>24</v>
      </c>
      <c r="E202" t="s">
        <v>25</v>
      </c>
      <c r="F202" s="1">
        <v>45566</v>
      </c>
      <c r="G202" t="s">
        <v>18</v>
      </c>
      <c r="H202" s="2">
        <v>282398.53999999998</v>
      </c>
      <c r="I202" s="2">
        <v>290386.03999999998</v>
      </c>
      <c r="J202" s="2">
        <v>286402.2</v>
      </c>
      <c r="K202" s="2">
        <v>288405.69</v>
      </c>
      <c r="L202" s="2">
        <f t="shared" si="12"/>
        <v>7987.5</v>
      </c>
      <c r="M202" s="4">
        <f t="shared" si="13"/>
        <v>2.8284494671962541E-2</v>
      </c>
      <c r="N202" s="2">
        <f t="shared" si="14"/>
        <v>-3983.8399999999674</v>
      </c>
      <c r="O202" s="6">
        <f t="shared" si="15"/>
        <v>0.98628088319948171</v>
      </c>
    </row>
    <row r="203" spans="1:15" x14ac:dyDescent="0.2">
      <c r="A203" t="s">
        <v>22</v>
      </c>
      <c r="B203" t="s">
        <v>23</v>
      </c>
      <c r="C203" t="s">
        <v>13</v>
      </c>
      <c r="D203" t="s">
        <v>24</v>
      </c>
      <c r="E203" t="s">
        <v>25</v>
      </c>
      <c r="F203" s="1">
        <v>45566</v>
      </c>
      <c r="G203" t="s">
        <v>19</v>
      </c>
      <c r="H203" s="2">
        <v>212592.5</v>
      </c>
      <c r="I203" s="2">
        <v>212818.77</v>
      </c>
      <c r="J203" s="2">
        <v>217558.96</v>
      </c>
      <c r="K203" s="2">
        <v>211987.4</v>
      </c>
      <c r="L203" s="2">
        <f t="shared" si="12"/>
        <v>226.26999999998952</v>
      </c>
      <c r="M203" s="4">
        <f t="shared" si="13"/>
        <v>1.0643367004950293E-3</v>
      </c>
      <c r="N203" s="2">
        <f t="shared" si="14"/>
        <v>4740.1900000000023</v>
      </c>
      <c r="O203" s="6">
        <f t="shared" si="15"/>
        <v>1.0222733643277799</v>
      </c>
    </row>
    <row r="204" spans="1:15" x14ac:dyDescent="0.2">
      <c r="A204" t="s">
        <v>22</v>
      </c>
      <c r="B204" t="s">
        <v>23</v>
      </c>
      <c r="C204" t="s">
        <v>13</v>
      </c>
      <c r="D204" t="s">
        <v>24</v>
      </c>
      <c r="E204" t="s">
        <v>25</v>
      </c>
      <c r="F204" s="1">
        <v>45566</v>
      </c>
      <c r="G204" t="s">
        <v>20</v>
      </c>
      <c r="H204" s="2">
        <v>50095.54</v>
      </c>
      <c r="I204" s="2">
        <v>49550.03</v>
      </c>
      <c r="J204" s="2">
        <v>49175.9</v>
      </c>
      <c r="K204" s="2">
        <v>49177.18</v>
      </c>
      <c r="L204" s="2">
        <f t="shared" si="12"/>
        <v>-545.51000000000204</v>
      </c>
      <c r="M204" s="4">
        <f t="shared" si="13"/>
        <v>-1.0889392548717951E-2</v>
      </c>
      <c r="N204" s="2">
        <f t="shared" si="14"/>
        <v>-374.12999999999738</v>
      </c>
      <c r="O204" s="6">
        <f t="shared" si="15"/>
        <v>0.99244944957651893</v>
      </c>
    </row>
    <row r="205" spans="1:15" x14ac:dyDescent="0.2">
      <c r="A205" t="s">
        <v>22</v>
      </c>
      <c r="B205" t="s">
        <v>23</v>
      </c>
      <c r="C205" t="s">
        <v>13</v>
      </c>
      <c r="D205" t="s">
        <v>24</v>
      </c>
      <c r="E205" t="s">
        <v>25</v>
      </c>
      <c r="F205" s="1">
        <v>45566</v>
      </c>
      <c r="G205" t="s">
        <v>21</v>
      </c>
      <c r="H205" s="2">
        <v>79665.42</v>
      </c>
      <c r="I205" s="2">
        <v>79934.3</v>
      </c>
      <c r="J205" s="2">
        <v>80455.03</v>
      </c>
      <c r="K205" s="2">
        <v>80836.62</v>
      </c>
      <c r="L205" s="2">
        <f t="shared" si="12"/>
        <v>268.88000000000466</v>
      </c>
      <c r="M205" s="4">
        <f t="shared" si="13"/>
        <v>3.3751155771224789E-3</v>
      </c>
      <c r="N205" s="2">
        <f t="shared" si="14"/>
        <v>520.72999999999593</v>
      </c>
      <c r="O205" s="6">
        <f t="shared" si="15"/>
        <v>1.006514475012604</v>
      </c>
    </row>
    <row r="206" spans="1:15" x14ac:dyDescent="0.2">
      <c r="A206" t="s">
        <v>22</v>
      </c>
      <c r="B206" t="s">
        <v>23</v>
      </c>
      <c r="C206" t="s">
        <v>13</v>
      </c>
      <c r="D206" t="s">
        <v>24</v>
      </c>
      <c r="E206" t="s">
        <v>25</v>
      </c>
      <c r="F206" s="1">
        <v>45597</v>
      </c>
      <c r="G206" t="s">
        <v>16</v>
      </c>
      <c r="H206" s="2">
        <v>485153.12</v>
      </c>
      <c r="I206" s="2">
        <v>515989.51</v>
      </c>
      <c r="J206" s="2">
        <v>482940.28</v>
      </c>
      <c r="K206" s="2">
        <v>505080.82</v>
      </c>
      <c r="L206" s="2">
        <f t="shared" si="12"/>
        <v>30836.390000000014</v>
      </c>
      <c r="M206" s="4">
        <f t="shared" si="13"/>
        <v>6.3560118916683492E-2</v>
      </c>
      <c r="N206" s="2">
        <f t="shared" si="14"/>
        <v>-33049.229999999981</v>
      </c>
      <c r="O206" s="6">
        <f t="shared" si="15"/>
        <v>0.9359498025454045</v>
      </c>
    </row>
    <row r="207" spans="1:15" x14ac:dyDescent="0.2">
      <c r="A207" t="s">
        <v>22</v>
      </c>
      <c r="B207" t="s">
        <v>23</v>
      </c>
      <c r="C207" t="s">
        <v>13</v>
      </c>
      <c r="D207" t="s">
        <v>24</v>
      </c>
      <c r="E207" t="s">
        <v>25</v>
      </c>
      <c r="F207" s="1">
        <v>45597</v>
      </c>
      <c r="G207" t="s">
        <v>17</v>
      </c>
      <c r="H207" s="2">
        <v>375969.91</v>
      </c>
      <c r="I207" s="2">
        <v>382809.85</v>
      </c>
      <c r="J207" s="2">
        <v>381200.53</v>
      </c>
      <c r="K207" s="2">
        <v>382270.16</v>
      </c>
      <c r="L207" s="2">
        <f t="shared" si="12"/>
        <v>6839.9400000000023</v>
      </c>
      <c r="M207" s="4">
        <f t="shared" si="13"/>
        <v>1.8192785693940249E-2</v>
      </c>
      <c r="N207" s="2">
        <f t="shared" si="14"/>
        <v>-1609.3199999999488</v>
      </c>
      <c r="O207" s="6">
        <f t="shared" si="15"/>
        <v>0.99579603293906893</v>
      </c>
    </row>
    <row r="208" spans="1:15" x14ac:dyDescent="0.2">
      <c r="A208" t="s">
        <v>22</v>
      </c>
      <c r="B208" t="s">
        <v>23</v>
      </c>
      <c r="C208" t="s">
        <v>13</v>
      </c>
      <c r="D208" t="s">
        <v>24</v>
      </c>
      <c r="E208" t="s">
        <v>25</v>
      </c>
      <c r="F208" s="1">
        <v>45597</v>
      </c>
      <c r="G208" t="s">
        <v>18</v>
      </c>
      <c r="H208" s="2">
        <v>293229.69</v>
      </c>
      <c r="I208" s="2">
        <v>290798.13</v>
      </c>
      <c r="J208" s="2">
        <v>289506.17</v>
      </c>
      <c r="K208" s="2">
        <v>293012.65999999997</v>
      </c>
      <c r="L208" s="2">
        <f t="shared" si="12"/>
        <v>-2431.5599999999977</v>
      </c>
      <c r="M208" s="4">
        <f t="shared" si="13"/>
        <v>-8.2923390192855221E-3</v>
      </c>
      <c r="N208" s="2">
        <f t="shared" si="14"/>
        <v>-1291.960000000021</v>
      </c>
      <c r="O208" s="6">
        <f t="shared" si="15"/>
        <v>0.9955571928884136</v>
      </c>
    </row>
    <row r="209" spans="1:15" x14ac:dyDescent="0.2">
      <c r="A209" t="s">
        <v>22</v>
      </c>
      <c r="B209" t="s">
        <v>23</v>
      </c>
      <c r="C209" t="s">
        <v>13</v>
      </c>
      <c r="D209" t="s">
        <v>24</v>
      </c>
      <c r="E209" t="s">
        <v>25</v>
      </c>
      <c r="F209" s="1">
        <v>45597</v>
      </c>
      <c r="G209" t="s">
        <v>19</v>
      </c>
      <c r="H209" s="2">
        <v>210726.03</v>
      </c>
      <c r="I209" s="2">
        <v>216128.66</v>
      </c>
      <c r="J209" s="2">
        <v>212713.97</v>
      </c>
      <c r="K209" s="2">
        <v>214021.58</v>
      </c>
      <c r="L209" s="2">
        <f t="shared" si="12"/>
        <v>5402.6300000000047</v>
      </c>
      <c r="M209" s="4">
        <f t="shared" si="13"/>
        <v>2.5638171041327949E-2</v>
      </c>
      <c r="N209" s="2">
        <f t="shared" si="14"/>
        <v>-3414.6900000000023</v>
      </c>
      <c r="O209" s="6">
        <f t="shared" si="15"/>
        <v>0.98420066084710833</v>
      </c>
    </row>
    <row r="210" spans="1:15" x14ac:dyDescent="0.2">
      <c r="A210" t="s">
        <v>22</v>
      </c>
      <c r="B210" t="s">
        <v>23</v>
      </c>
      <c r="C210" t="s">
        <v>13</v>
      </c>
      <c r="D210" t="s">
        <v>24</v>
      </c>
      <c r="E210" t="s">
        <v>25</v>
      </c>
      <c r="F210" s="1">
        <v>45597</v>
      </c>
      <c r="G210" t="s">
        <v>20</v>
      </c>
      <c r="H210" s="2">
        <v>49786.94</v>
      </c>
      <c r="I210" s="2">
        <v>49448.58</v>
      </c>
      <c r="J210" s="2">
        <v>49105.4</v>
      </c>
      <c r="K210" s="2">
        <v>49853.45</v>
      </c>
      <c r="L210" s="2">
        <f t="shared" si="12"/>
        <v>-338.36000000000058</v>
      </c>
      <c r="M210" s="4">
        <f t="shared" si="13"/>
        <v>-6.7961597961232519E-3</v>
      </c>
      <c r="N210" s="2">
        <f t="shared" si="14"/>
        <v>-343.18000000000029</v>
      </c>
      <c r="O210" s="6">
        <f t="shared" si="15"/>
        <v>0.99305986137519009</v>
      </c>
    </row>
    <row r="211" spans="1:15" x14ac:dyDescent="0.2">
      <c r="A211" t="s">
        <v>22</v>
      </c>
      <c r="B211" t="s">
        <v>23</v>
      </c>
      <c r="C211" t="s">
        <v>13</v>
      </c>
      <c r="D211" t="s">
        <v>24</v>
      </c>
      <c r="E211" t="s">
        <v>25</v>
      </c>
      <c r="F211" s="1">
        <v>45597</v>
      </c>
      <c r="G211" t="s">
        <v>21</v>
      </c>
      <c r="H211" s="2">
        <v>78179.039999999994</v>
      </c>
      <c r="I211" s="2">
        <v>80681.53</v>
      </c>
      <c r="J211" s="2">
        <v>78003.25</v>
      </c>
      <c r="K211" s="2">
        <v>80602.17</v>
      </c>
      <c r="L211" s="2">
        <f t="shared" si="12"/>
        <v>2502.4900000000052</v>
      </c>
      <c r="M211" s="4">
        <f t="shared" si="13"/>
        <v>3.2009730485306614E-2</v>
      </c>
      <c r="N211" s="2">
        <f t="shared" si="14"/>
        <v>-2678.2799999999988</v>
      </c>
      <c r="O211" s="6">
        <f t="shared" si="15"/>
        <v>0.96680429833197268</v>
      </c>
    </row>
    <row r="212" spans="1:15" x14ac:dyDescent="0.2">
      <c r="A212" t="s">
        <v>22</v>
      </c>
      <c r="B212" t="s">
        <v>23</v>
      </c>
      <c r="C212" t="s">
        <v>13</v>
      </c>
      <c r="D212" t="s">
        <v>24</v>
      </c>
      <c r="E212" t="s">
        <v>25</v>
      </c>
      <c r="F212" s="1">
        <v>45627</v>
      </c>
      <c r="G212" t="s">
        <v>16</v>
      </c>
      <c r="H212" s="2">
        <v>488990.12</v>
      </c>
      <c r="I212" s="2">
        <v>516326.82</v>
      </c>
      <c r="J212" s="2">
        <v>486721.68</v>
      </c>
      <c r="K212" s="2">
        <v>515338.63</v>
      </c>
      <c r="L212" s="2">
        <f t="shared" si="12"/>
        <v>27336.700000000012</v>
      </c>
      <c r="M212" s="4">
        <f t="shared" si="13"/>
        <v>5.5904401504063131E-2</v>
      </c>
      <c r="N212" s="2">
        <f t="shared" si="14"/>
        <v>-29605.140000000014</v>
      </c>
      <c r="O212" s="6">
        <f t="shared" si="15"/>
        <v>0.94266201395464988</v>
      </c>
    </row>
    <row r="213" spans="1:15" x14ac:dyDescent="0.2">
      <c r="A213" t="s">
        <v>22</v>
      </c>
      <c r="B213" t="s">
        <v>23</v>
      </c>
      <c r="C213" t="s">
        <v>13</v>
      </c>
      <c r="D213" t="s">
        <v>24</v>
      </c>
      <c r="E213" t="s">
        <v>25</v>
      </c>
      <c r="F213" s="1">
        <v>45627</v>
      </c>
      <c r="G213" t="s">
        <v>17</v>
      </c>
      <c r="H213" s="2">
        <v>383145.27</v>
      </c>
      <c r="I213" s="2">
        <v>380878.26</v>
      </c>
      <c r="J213" s="2">
        <v>381824.05</v>
      </c>
      <c r="K213" s="2">
        <v>383613.67</v>
      </c>
      <c r="L213" s="2">
        <f t="shared" si="12"/>
        <v>-2267.0100000000093</v>
      </c>
      <c r="M213" s="4">
        <f t="shared" si="13"/>
        <v>-5.9168419330871795E-3</v>
      </c>
      <c r="N213" s="2">
        <f t="shared" si="14"/>
        <v>945.78999999997905</v>
      </c>
      <c r="O213" s="6">
        <f t="shared" si="15"/>
        <v>1.0024831818964937</v>
      </c>
    </row>
    <row r="214" spans="1:15" x14ac:dyDescent="0.2">
      <c r="A214" t="s">
        <v>22</v>
      </c>
      <c r="B214" t="s">
        <v>23</v>
      </c>
      <c r="C214" t="s">
        <v>13</v>
      </c>
      <c r="D214" t="s">
        <v>24</v>
      </c>
      <c r="E214" t="s">
        <v>25</v>
      </c>
      <c r="F214" s="1">
        <v>45627</v>
      </c>
      <c r="G214" t="s">
        <v>18</v>
      </c>
      <c r="H214" s="2">
        <v>299670.77</v>
      </c>
      <c r="I214" s="2">
        <v>299661.19</v>
      </c>
      <c r="J214" s="2">
        <v>297965.14</v>
      </c>
      <c r="K214" s="2">
        <v>303321.7</v>
      </c>
      <c r="L214" s="2">
        <f t="shared" si="12"/>
        <v>-9.5800000000162981</v>
      </c>
      <c r="M214" s="4">
        <f t="shared" si="13"/>
        <v>-3.1968416539311787E-5</v>
      </c>
      <c r="N214" s="2">
        <f t="shared" si="14"/>
        <v>-1696.0499999999884</v>
      </c>
      <c r="O214" s="6">
        <f t="shared" si="15"/>
        <v>0.99434010790653271</v>
      </c>
    </row>
    <row r="215" spans="1:15" x14ac:dyDescent="0.2">
      <c r="A215" t="s">
        <v>22</v>
      </c>
      <c r="B215" t="s">
        <v>23</v>
      </c>
      <c r="C215" t="s">
        <v>13</v>
      </c>
      <c r="D215" t="s">
        <v>24</v>
      </c>
      <c r="E215" t="s">
        <v>25</v>
      </c>
      <c r="F215" s="1">
        <v>45627</v>
      </c>
      <c r="G215" t="s">
        <v>19</v>
      </c>
      <c r="H215" s="2">
        <v>221386.9</v>
      </c>
      <c r="I215" s="2">
        <v>216208.6</v>
      </c>
      <c r="J215" s="2">
        <v>226883.64</v>
      </c>
      <c r="K215" s="2">
        <v>220830.06</v>
      </c>
      <c r="L215" s="2">
        <f t="shared" si="12"/>
        <v>-5178.2999999999884</v>
      </c>
      <c r="M215" s="4">
        <f t="shared" si="13"/>
        <v>-2.3390272866190314E-2</v>
      </c>
      <c r="N215" s="2">
        <f t="shared" si="14"/>
        <v>10675.040000000008</v>
      </c>
      <c r="O215" s="6">
        <f t="shared" si="15"/>
        <v>1.0493737991920766</v>
      </c>
    </row>
    <row r="216" spans="1:15" x14ac:dyDescent="0.2">
      <c r="A216" t="s">
        <v>22</v>
      </c>
      <c r="B216" t="s">
        <v>23</v>
      </c>
      <c r="C216" t="s">
        <v>13</v>
      </c>
      <c r="D216" t="s">
        <v>24</v>
      </c>
      <c r="E216" t="s">
        <v>25</v>
      </c>
      <c r="F216" s="1">
        <v>45627</v>
      </c>
      <c r="G216" t="s">
        <v>20</v>
      </c>
      <c r="H216" s="2">
        <v>52085.84</v>
      </c>
      <c r="I216" s="2">
        <v>51458.63</v>
      </c>
      <c r="J216" s="2">
        <v>53015.360000000001</v>
      </c>
      <c r="K216" s="2">
        <v>52061.42</v>
      </c>
      <c r="L216" s="2">
        <f t="shared" si="12"/>
        <v>-627.20999999999913</v>
      </c>
      <c r="M216" s="4">
        <f t="shared" si="13"/>
        <v>-1.2041852449725284E-2</v>
      </c>
      <c r="N216" s="2">
        <f t="shared" si="14"/>
        <v>1556.7300000000032</v>
      </c>
      <c r="O216" s="6">
        <f t="shared" si="15"/>
        <v>1.0302520685062935</v>
      </c>
    </row>
    <row r="217" spans="1:15" x14ac:dyDescent="0.2">
      <c r="A217" t="s">
        <v>22</v>
      </c>
      <c r="B217" t="s">
        <v>23</v>
      </c>
      <c r="C217" t="s">
        <v>13</v>
      </c>
      <c r="D217" t="s">
        <v>24</v>
      </c>
      <c r="E217" t="s">
        <v>25</v>
      </c>
      <c r="F217" s="1">
        <v>45627</v>
      </c>
      <c r="G217" t="s">
        <v>21</v>
      </c>
      <c r="H217" s="2">
        <v>75977.98</v>
      </c>
      <c r="I217" s="2">
        <v>78523.87</v>
      </c>
      <c r="J217" s="2">
        <v>78052.850000000006</v>
      </c>
      <c r="K217" s="2">
        <v>78749.61</v>
      </c>
      <c r="L217" s="2">
        <f t="shared" si="12"/>
        <v>2545.8899999999994</v>
      </c>
      <c r="M217" s="4">
        <f t="shared" si="13"/>
        <v>3.3508261209366182E-2</v>
      </c>
      <c r="N217" s="2">
        <f t="shared" si="14"/>
        <v>-471.01999999998952</v>
      </c>
      <c r="O217" s="6">
        <f t="shared" si="15"/>
        <v>0.99400156920437077</v>
      </c>
    </row>
    <row r="218" spans="1:15" x14ac:dyDescent="0.2">
      <c r="A218" t="s">
        <v>22</v>
      </c>
      <c r="B218" t="s">
        <v>23</v>
      </c>
      <c r="C218" t="s">
        <v>13</v>
      </c>
      <c r="D218" t="s">
        <v>24</v>
      </c>
      <c r="E218" t="s">
        <v>25</v>
      </c>
      <c r="F218" s="1">
        <v>45658</v>
      </c>
      <c r="G218" t="s">
        <v>16</v>
      </c>
      <c r="H218" s="2">
        <v>435012.11</v>
      </c>
      <c r="I218" s="2">
        <v>468511.89</v>
      </c>
      <c r="J218" s="2">
        <v>429297.76</v>
      </c>
      <c r="K218" s="2">
        <v>464351.05</v>
      </c>
      <c r="L218" s="2">
        <f t="shared" si="12"/>
        <v>33499.780000000028</v>
      </c>
      <c r="M218" s="4">
        <f t="shared" si="13"/>
        <v>7.7008844650324856E-2</v>
      </c>
      <c r="N218" s="2">
        <f t="shared" si="14"/>
        <v>-39214.130000000005</v>
      </c>
      <c r="O218" s="6">
        <f t="shared" si="15"/>
        <v>0.9163006727534706</v>
      </c>
    </row>
    <row r="219" spans="1:15" x14ac:dyDescent="0.2">
      <c r="A219" t="s">
        <v>22</v>
      </c>
      <c r="B219" t="s">
        <v>23</v>
      </c>
      <c r="C219" t="s">
        <v>13</v>
      </c>
      <c r="D219" t="s">
        <v>24</v>
      </c>
      <c r="E219" t="s">
        <v>25</v>
      </c>
      <c r="F219" s="1">
        <v>45658</v>
      </c>
      <c r="G219" t="s">
        <v>17</v>
      </c>
      <c r="H219" s="2">
        <v>344687.28</v>
      </c>
      <c r="I219" s="2">
        <v>355402.06</v>
      </c>
      <c r="J219" s="2">
        <v>348745.67</v>
      </c>
      <c r="K219" s="2">
        <v>352023.25</v>
      </c>
      <c r="L219" s="2">
        <f t="shared" si="12"/>
        <v>10714.77999999997</v>
      </c>
      <c r="M219" s="4">
        <f t="shared" si="13"/>
        <v>3.1085510321123451E-2</v>
      </c>
      <c r="N219" s="2">
        <f t="shared" si="14"/>
        <v>-6656.390000000014</v>
      </c>
      <c r="O219" s="6">
        <f t="shared" si="15"/>
        <v>0.98127081761990909</v>
      </c>
    </row>
    <row r="220" spans="1:15" x14ac:dyDescent="0.2">
      <c r="A220" t="s">
        <v>22</v>
      </c>
      <c r="B220" t="s">
        <v>23</v>
      </c>
      <c r="C220" t="s">
        <v>13</v>
      </c>
      <c r="D220" t="s">
        <v>24</v>
      </c>
      <c r="E220" t="s">
        <v>25</v>
      </c>
      <c r="F220" s="1">
        <v>45658</v>
      </c>
      <c r="G220" t="s">
        <v>18</v>
      </c>
      <c r="H220" s="2">
        <v>281896.73</v>
      </c>
      <c r="I220" s="2">
        <v>285670.07</v>
      </c>
      <c r="J220" s="2">
        <v>284262.03000000003</v>
      </c>
      <c r="K220" s="2">
        <v>285571.75</v>
      </c>
      <c r="L220" s="2">
        <f t="shared" si="12"/>
        <v>3773.3400000000256</v>
      </c>
      <c r="M220" s="4">
        <f t="shared" si="13"/>
        <v>1.3385540158624847E-2</v>
      </c>
      <c r="N220" s="2">
        <f t="shared" si="14"/>
        <v>-1408.039999999979</v>
      </c>
      <c r="O220" s="6">
        <f t="shared" si="15"/>
        <v>0.99507109722765152</v>
      </c>
    </row>
    <row r="221" spans="1:15" x14ac:dyDescent="0.2">
      <c r="A221" t="s">
        <v>22</v>
      </c>
      <c r="B221" t="s">
        <v>23</v>
      </c>
      <c r="C221" t="s">
        <v>13</v>
      </c>
      <c r="D221" t="s">
        <v>24</v>
      </c>
      <c r="E221" t="s">
        <v>25</v>
      </c>
      <c r="F221" s="1">
        <v>45658</v>
      </c>
      <c r="G221" t="s">
        <v>19</v>
      </c>
      <c r="H221" s="2">
        <v>206921.21</v>
      </c>
      <c r="I221" s="2">
        <v>209979.85</v>
      </c>
      <c r="J221" s="2">
        <v>206395.7</v>
      </c>
      <c r="K221" s="2">
        <v>211849.16</v>
      </c>
      <c r="L221" s="2">
        <f t="shared" si="12"/>
        <v>3058.640000000014</v>
      </c>
      <c r="M221" s="4">
        <f t="shared" si="13"/>
        <v>1.4781664963200313E-2</v>
      </c>
      <c r="N221" s="2">
        <f t="shared" si="14"/>
        <v>-3584.1499999999942</v>
      </c>
      <c r="O221" s="6">
        <f t="shared" si="15"/>
        <v>0.98293098123462797</v>
      </c>
    </row>
    <row r="222" spans="1:15" x14ac:dyDescent="0.2">
      <c r="A222" t="s">
        <v>22</v>
      </c>
      <c r="B222" t="s">
        <v>23</v>
      </c>
      <c r="C222" t="s">
        <v>13</v>
      </c>
      <c r="D222" t="s">
        <v>24</v>
      </c>
      <c r="E222" t="s">
        <v>25</v>
      </c>
      <c r="F222" s="1">
        <v>45658</v>
      </c>
      <c r="G222" t="s">
        <v>20</v>
      </c>
      <c r="H222" s="2">
        <v>47748.99</v>
      </c>
      <c r="I222" s="2">
        <v>47515.9</v>
      </c>
      <c r="J222" s="2">
        <v>46630.879999999997</v>
      </c>
      <c r="K222" s="2">
        <v>48146.69</v>
      </c>
      <c r="L222" s="2">
        <f t="shared" si="12"/>
        <v>-233.08999999999651</v>
      </c>
      <c r="M222" s="4">
        <f t="shared" si="13"/>
        <v>-4.8815692227206593E-3</v>
      </c>
      <c r="N222" s="2">
        <f t="shared" si="14"/>
        <v>-885.02000000000407</v>
      </c>
      <c r="O222" s="6">
        <f t="shared" si="15"/>
        <v>0.98137423472984819</v>
      </c>
    </row>
    <row r="223" spans="1:15" x14ac:dyDescent="0.2">
      <c r="A223" t="s">
        <v>22</v>
      </c>
      <c r="B223" t="s">
        <v>23</v>
      </c>
      <c r="C223" t="s">
        <v>13</v>
      </c>
      <c r="D223" t="s">
        <v>24</v>
      </c>
      <c r="E223" t="s">
        <v>25</v>
      </c>
      <c r="F223" s="1">
        <v>45658</v>
      </c>
      <c r="G223" t="s">
        <v>21</v>
      </c>
      <c r="H223" s="2">
        <v>73377.17</v>
      </c>
      <c r="I223" s="2">
        <v>71981.66</v>
      </c>
      <c r="J223" s="2">
        <v>71512.97</v>
      </c>
      <c r="K223" s="2">
        <v>71652.070000000007</v>
      </c>
      <c r="L223" s="2">
        <f t="shared" si="12"/>
        <v>-1395.5099999999948</v>
      </c>
      <c r="M223" s="4">
        <f t="shared" si="13"/>
        <v>-1.9018313189238488E-2</v>
      </c>
      <c r="N223" s="2">
        <f t="shared" si="14"/>
        <v>-468.69000000000233</v>
      </c>
      <c r="O223" s="6">
        <f t="shared" si="15"/>
        <v>0.99348875810866266</v>
      </c>
    </row>
    <row r="224" spans="1:15" x14ac:dyDescent="0.2">
      <c r="A224" t="s">
        <v>22</v>
      </c>
      <c r="B224" t="s">
        <v>23</v>
      </c>
      <c r="C224" t="s">
        <v>13</v>
      </c>
      <c r="D224" t="s">
        <v>24</v>
      </c>
      <c r="E224" t="s">
        <v>25</v>
      </c>
      <c r="F224" s="1">
        <v>45689</v>
      </c>
      <c r="G224" t="s">
        <v>16</v>
      </c>
      <c r="H224" s="2">
        <v>461983.93</v>
      </c>
      <c r="I224" s="2">
        <v>506204</v>
      </c>
      <c r="J224" s="2">
        <v>450047.43</v>
      </c>
      <c r="K224" s="2">
        <v>491677.69</v>
      </c>
      <c r="L224" s="2">
        <f t="shared" si="12"/>
        <v>44220.070000000007</v>
      </c>
      <c r="M224" s="4">
        <f t="shared" si="13"/>
        <v>9.5717766633138093E-2</v>
      </c>
      <c r="N224" s="2">
        <f t="shared" si="14"/>
        <v>-56156.570000000007</v>
      </c>
      <c r="O224" s="6">
        <f t="shared" si="15"/>
        <v>0.88906336180670242</v>
      </c>
    </row>
    <row r="225" spans="1:15" x14ac:dyDescent="0.2">
      <c r="A225" t="s">
        <v>22</v>
      </c>
      <c r="B225" t="s">
        <v>23</v>
      </c>
      <c r="C225" t="s">
        <v>13</v>
      </c>
      <c r="D225" t="s">
        <v>24</v>
      </c>
      <c r="E225" t="s">
        <v>25</v>
      </c>
      <c r="F225" s="1">
        <v>45689</v>
      </c>
      <c r="G225" t="s">
        <v>17</v>
      </c>
      <c r="H225" s="2">
        <v>365271.08</v>
      </c>
      <c r="I225" s="2">
        <v>357155.53</v>
      </c>
      <c r="J225" s="2">
        <v>369419.02</v>
      </c>
      <c r="K225" s="2">
        <v>356691.67</v>
      </c>
      <c r="L225" s="2">
        <f t="shared" si="12"/>
        <v>-8115.5499999999884</v>
      </c>
      <c r="M225" s="4">
        <f t="shared" si="13"/>
        <v>-2.2217882674971115E-2</v>
      </c>
      <c r="N225" s="2">
        <f t="shared" si="14"/>
        <v>12263.489999999991</v>
      </c>
      <c r="O225" s="6">
        <f t="shared" si="15"/>
        <v>1.0343365536017319</v>
      </c>
    </row>
    <row r="226" spans="1:15" x14ac:dyDescent="0.2">
      <c r="A226" t="s">
        <v>22</v>
      </c>
      <c r="B226" t="s">
        <v>23</v>
      </c>
      <c r="C226" t="s">
        <v>13</v>
      </c>
      <c r="D226" t="s">
        <v>24</v>
      </c>
      <c r="E226" t="s">
        <v>25</v>
      </c>
      <c r="F226" s="1">
        <v>45689</v>
      </c>
      <c r="G226" t="s">
        <v>18</v>
      </c>
      <c r="H226" s="2">
        <v>288722.61</v>
      </c>
      <c r="I226" s="2">
        <v>285105.21999999997</v>
      </c>
      <c r="J226" s="2">
        <v>291253.31</v>
      </c>
      <c r="K226" s="2">
        <v>288214.14</v>
      </c>
      <c r="L226" s="2">
        <f t="shared" si="12"/>
        <v>-3617.390000000014</v>
      </c>
      <c r="M226" s="4">
        <f t="shared" si="13"/>
        <v>-1.252894603578159E-2</v>
      </c>
      <c r="N226" s="2">
        <f t="shared" si="14"/>
        <v>6148.0900000000256</v>
      </c>
      <c r="O226" s="6">
        <f t="shared" si="15"/>
        <v>1.0215642842316253</v>
      </c>
    </row>
    <row r="227" spans="1:15" x14ac:dyDescent="0.2">
      <c r="A227" t="s">
        <v>22</v>
      </c>
      <c r="B227" t="s">
        <v>23</v>
      </c>
      <c r="C227" t="s">
        <v>13</v>
      </c>
      <c r="D227" t="s">
        <v>24</v>
      </c>
      <c r="E227" t="s">
        <v>25</v>
      </c>
      <c r="F227" s="1">
        <v>45689</v>
      </c>
      <c r="G227" t="s">
        <v>19</v>
      </c>
      <c r="H227" s="2">
        <v>209163.97</v>
      </c>
      <c r="I227" s="2">
        <v>203404.72</v>
      </c>
      <c r="J227" s="2">
        <v>204540.45</v>
      </c>
      <c r="K227" s="2">
        <v>208969.12</v>
      </c>
      <c r="L227" s="2">
        <f t="shared" si="12"/>
        <v>-5759.25</v>
      </c>
      <c r="M227" s="4">
        <f t="shared" si="13"/>
        <v>-2.7534617936349173E-2</v>
      </c>
      <c r="N227" s="2">
        <f t="shared" si="14"/>
        <v>1135.7300000000105</v>
      </c>
      <c r="O227" s="6">
        <f t="shared" si="15"/>
        <v>1.0055835970768034</v>
      </c>
    </row>
    <row r="228" spans="1:15" x14ac:dyDescent="0.2">
      <c r="A228" t="s">
        <v>22</v>
      </c>
      <c r="B228" t="s">
        <v>23</v>
      </c>
      <c r="C228" t="s">
        <v>13</v>
      </c>
      <c r="D228" t="s">
        <v>24</v>
      </c>
      <c r="E228" t="s">
        <v>25</v>
      </c>
      <c r="F228" s="1">
        <v>45689</v>
      </c>
      <c r="G228" t="s">
        <v>20</v>
      </c>
      <c r="H228" s="2">
        <v>50184.3</v>
      </c>
      <c r="I228" s="2">
        <v>51305.94</v>
      </c>
      <c r="J228" s="2">
        <v>49031.91</v>
      </c>
      <c r="K228" s="2">
        <v>50361.79</v>
      </c>
      <c r="L228" s="2">
        <f t="shared" si="12"/>
        <v>1121.6399999999994</v>
      </c>
      <c r="M228" s="4">
        <f t="shared" si="13"/>
        <v>2.2350416365277573E-2</v>
      </c>
      <c r="N228" s="2">
        <f t="shared" si="14"/>
        <v>-2274.0299999999988</v>
      </c>
      <c r="O228" s="6">
        <f t="shared" si="15"/>
        <v>0.95567706195422986</v>
      </c>
    </row>
    <row r="229" spans="1:15" x14ac:dyDescent="0.2">
      <c r="A229" t="s">
        <v>22</v>
      </c>
      <c r="B229" t="s">
        <v>23</v>
      </c>
      <c r="C229" t="s">
        <v>13</v>
      </c>
      <c r="D229" t="s">
        <v>24</v>
      </c>
      <c r="E229" t="s">
        <v>25</v>
      </c>
      <c r="F229" s="1">
        <v>45689</v>
      </c>
      <c r="G229" t="s">
        <v>21</v>
      </c>
      <c r="H229" s="2">
        <v>76689.149999999994</v>
      </c>
      <c r="I229" s="2">
        <v>76953.17</v>
      </c>
      <c r="J229" s="2">
        <v>76779.360000000001</v>
      </c>
      <c r="K229" s="2">
        <v>76749.679999999993</v>
      </c>
      <c r="L229" s="2">
        <f t="shared" si="12"/>
        <v>264.02000000000407</v>
      </c>
      <c r="M229" s="4">
        <f t="shared" si="13"/>
        <v>3.4427295125842978E-3</v>
      </c>
      <c r="N229" s="2">
        <f t="shared" si="14"/>
        <v>-173.80999999999767</v>
      </c>
      <c r="O229" s="6">
        <f t="shared" si="15"/>
        <v>0.99774135360505622</v>
      </c>
    </row>
    <row r="230" spans="1:15" x14ac:dyDescent="0.2">
      <c r="A230" t="s">
        <v>22</v>
      </c>
      <c r="B230" t="s">
        <v>23</v>
      </c>
      <c r="C230" t="s">
        <v>13</v>
      </c>
      <c r="D230" t="s">
        <v>24</v>
      </c>
      <c r="E230" t="s">
        <v>25</v>
      </c>
      <c r="F230" s="1">
        <v>45717</v>
      </c>
      <c r="G230" t="s">
        <v>16</v>
      </c>
      <c r="H230" s="2">
        <v>468011.68</v>
      </c>
      <c r="I230" s="2">
        <v>505697.53</v>
      </c>
      <c r="J230" s="2">
        <v>472236.35</v>
      </c>
      <c r="K230" s="2">
        <v>496818.09</v>
      </c>
      <c r="L230" s="2">
        <f t="shared" si="12"/>
        <v>37685.850000000035</v>
      </c>
      <c r="M230" s="4">
        <f t="shared" si="13"/>
        <v>8.0523310871215933E-2</v>
      </c>
      <c r="N230" s="2">
        <f t="shared" si="14"/>
        <v>-33461.180000000051</v>
      </c>
      <c r="O230" s="6">
        <f t="shared" si="15"/>
        <v>0.93383163251756429</v>
      </c>
    </row>
    <row r="231" spans="1:15" x14ac:dyDescent="0.2">
      <c r="A231" t="s">
        <v>22</v>
      </c>
      <c r="B231" t="s">
        <v>23</v>
      </c>
      <c r="C231" t="s">
        <v>13</v>
      </c>
      <c r="D231" t="s">
        <v>24</v>
      </c>
      <c r="E231" t="s">
        <v>25</v>
      </c>
      <c r="F231" s="1">
        <v>45717</v>
      </c>
      <c r="G231" t="s">
        <v>17</v>
      </c>
      <c r="H231" s="2">
        <v>345549.68</v>
      </c>
      <c r="I231" s="2">
        <v>340523.72</v>
      </c>
      <c r="J231" s="2">
        <v>351405.71</v>
      </c>
      <c r="K231" s="2">
        <v>343464.42</v>
      </c>
      <c r="L231" s="2">
        <f t="shared" si="12"/>
        <v>-5025.960000000021</v>
      </c>
      <c r="M231" s="4">
        <f t="shared" si="13"/>
        <v>-1.4544826086946516E-2</v>
      </c>
      <c r="N231" s="2">
        <f t="shared" si="14"/>
        <v>10881.990000000049</v>
      </c>
      <c r="O231" s="6">
        <f t="shared" si="15"/>
        <v>1.0319566284545465</v>
      </c>
    </row>
    <row r="232" spans="1:15" x14ac:dyDescent="0.2">
      <c r="A232" t="s">
        <v>22</v>
      </c>
      <c r="B232" t="s">
        <v>23</v>
      </c>
      <c r="C232" t="s">
        <v>13</v>
      </c>
      <c r="D232" t="s">
        <v>24</v>
      </c>
      <c r="E232" t="s">
        <v>25</v>
      </c>
      <c r="F232" s="1">
        <v>45717</v>
      </c>
      <c r="G232" t="s">
        <v>18</v>
      </c>
      <c r="H232" s="2">
        <v>277901.17</v>
      </c>
      <c r="I232" s="2">
        <v>268807.90000000002</v>
      </c>
      <c r="J232" s="2">
        <v>280951.15999999997</v>
      </c>
      <c r="K232" s="2">
        <v>275972.46999999997</v>
      </c>
      <c r="L232" s="2">
        <f t="shared" si="12"/>
        <v>-9093.2699999999604</v>
      </c>
      <c r="M232" s="4">
        <f t="shared" si="13"/>
        <v>-3.272123683394338E-2</v>
      </c>
      <c r="N232" s="2">
        <f t="shared" si="14"/>
        <v>12143.259999999951</v>
      </c>
      <c r="O232" s="6">
        <f t="shared" si="15"/>
        <v>1.0451744907794747</v>
      </c>
    </row>
    <row r="233" spans="1:15" x14ac:dyDescent="0.2">
      <c r="A233" t="s">
        <v>22</v>
      </c>
      <c r="B233" t="s">
        <v>23</v>
      </c>
      <c r="C233" t="s">
        <v>13</v>
      </c>
      <c r="D233" t="s">
        <v>24</v>
      </c>
      <c r="E233" t="s">
        <v>25</v>
      </c>
      <c r="F233" s="1">
        <v>45717</v>
      </c>
      <c r="G233" t="s">
        <v>19</v>
      </c>
      <c r="H233" s="2">
        <v>202060.09</v>
      </c>
      <c r="I233" s="2">
        <v>204821.7</v>
      </c>
      <c r="J233" s="2">
        <v>206612.24</v>
      </c>
      <c r="K233" s="2">
        <v>204313.59</v>
      </c>
      <c r="L233" s="2">
        <f t="shared" si="12"/>
        <v>2761.6100000000151</v>
      </c>
      <c r="M233" s="4">
        <f t="shared" si="13"/>
        <v>1.3667270958851969E-2</v>
      </c>
      <c r="N233" s="2">
        <f t="shared" si="14"/>
        <v>1790.539999999979</v>
      </c>
      <c r="O233" s="6">
        <f t="shared" si="15"/>
        <v>1.0087419448232291</v>
      </c>
    </row>
    <row r="234" spans="1:15" x14ac:dyDescent="0.2">
      <c r="A234" t="s">
        <v>22</v>
      </c>
      <c r="B234" t="s">
        <v>23</v>
      </c>
      <c r="C234" t="s">
        <v>13</v>
      </c>
      <c r="D234" t="s">
        <v>24</v>
      </c>
      <c r="E234" t="s">
        <v>25</v>
      </c>
      <c r="F234" s="1">
        <v>45717</v>
      </c>
      <c r="G234" t="s">
        <v>20</v>
      </c>
      <c r="H234" s="2">
        <v>47421.19</v>
      </c>
      <c r="I234" s="2">
        <v>48567.59</v>
      </c>
      <c r="J234" s="2">
        <v>46854.51</v>
      </c>
      <c r="K234" s="2">
        <v>48916.61</v>
      </c>
      <c r="L234" s="2">
        <f t="shared" si="12"/>
        <v>1146.3999999999942</v>
      </c>
      <c r="M234" s="4">
        <f t="shared" si="13"/>
        <v>2.4174846729911124E-2</v>
      </c>
      <c r="N234" s="2">
        <f t="shared" si="14"/>
        <v>-1713.0799999999945</v>
      </c>
      <c r="O234" s="6">
        <f t="shared" si="15"/>
        <v>0.96472791835048854</v>
      </c>
    </row>
    <row r="235" spans="1:15" x14ac:dyDescent="0.2">
      <c r="A235" t="s">
        <v>22</v>
      </c>
      <c r="B235" t="s">
        <v>23</v>
      </c>
      <c r="C235" t="s">
        <v>13</v>
      </c>
      <c r="D235" t="s">
        <v>24</v>
      </c>
      <c r="E235" t="s">
        <v>25</v>
      </c>
      <c r="F235" s="1">
        <v>45717</v>
      </c>
      <c r="G235" t="s">
        <v>21</v>
      </c>
      <c r="H235" s="2">
        <v>78458.86</v>
      </c>
      <c r="I235" s="2">
        <v>80177.759999999995</v>
      </c>
      <c r="J235" s="2">
        <v>78438.05</v>
      </c>
      <c r="K235" s="2">
        <v>78663.95</v>
      </c>
      <c r="L235" s="2">
        <f t="shared" si="12"/>
        <v>1718.8999999999942</v>
      </c>
      <c r="M235" s="4">
        <f t="shared" si="13"/>
        <v>2.1908296908723809E-2</v>
      </c>
      <c r="N235" s="2">
        <f t="shared" si="14"/>
        <v>-1739.7099999999919</v>
      </c>
      <c r="O235" s="6">
        <f t="shared" si="15"/>
        <v>0.97830183831526363</v>
      </c>
    </row>
    <row r="236" spans="1:15" x14ac:dyDescent="0.2">
      <c r="A236" t="s">
        <v>22</v>
      </c>
      <c r="B236" t="s">
        <v>23</v>
      </c>
      <c r="C236" t="s">
        <v>13</v>
      </c>
      <c r="D236" t="s">
        <v>24</v>
      </c>
      <c r="E236" t="s">
        <v>25</v>
      </c>
      <c r="F236" s="1">
        <v>45748</v>
      </c>
      <c r="G236" t="s">
        <v>16</v>
      </c>
      <c r="H236" s="2">
        <v>479609.41</v>
      </c>
      <c r="I236" s="2">
        <v>527196.93000000005</v>
      </c>
      <c r="J236" s="2">
        <v>480151.05</v>
      </c>
      <c r="K236" s="2">
        <v>516884.2</v>
      </c>
      <c r="L236" s="2">
        <f t="shared" si="12"/>
        <v>47587.520000000077</v>
      </c>
      <c r="M236" s="4">
        <f t="shared" si="13"/>
        <v>9.9221406018701927E-2</v>
      </c>
      <c r="N236" s="2">
        <f t="shared" si="14"/>
        <v>-47045.880000000063</v>
      </c>
      <c r="O236" s="6">
        <f t="shared" si="15"/>
        <v>0.91076222693481912</v>
      </c>
    </row>
    <row r="237" spans="1:15" x14ac:dyDescent="0.2">
      <c r="A237" t="s">
        <v>22</v>
      </c>
      <c r="B237" t="s">
        <v>23</v>
      </c>
      <c r="C237" t="s">
        <v>13</v>
      </c>
      <c r="D237" t="s">
        <v>24</v>
      </c>
      <c r="E237" t="s">
        <v>25</v>
      </c>
      <c r="F237" s="1">
        <v>45748</v>
      </c>
      <c r="G237" t="s">
        <v>17</v>
      </c>
      <c r="H237" s="2">
        <v>358828.92</v>
      </c>
      <c r="I237" s="2">
        <v>347248.73</v>
      </c>
      <c r="J237" s="2">
        <v>364529</v>
      </c>
      <c r="K237" s="2">
        <v>350918.78</v>
      </c>
      <c r="L237" s="2">
        <f t="shared" si="12"/>
        <v>-11580.190000000002</v>
      </c>
      <c r="M237" s="4">
        <f t="shared" si="13"/>
        <v>-3.2272175832427336E-2</v>
      </c>
      <c r="N237" s="2">
        <f t="shared" si="14"/>
        <v>17280.270000000019</v>
      </c>
      <c r="O237" s="6">
        <f t="shared" si="15"/>
        <v>1.0497633785442499</v>
      </c>
    </row>
    <row r="238" spans="1:15" x14ac:dyDescent="0.2">
      <c r="A238" t="s">
        <v>22</v>
      </c>
      <c r="B238" t="s">
        <v>23</v>
      </c>
      <c r="C238" t="s">
        <v>13</v>
      </c>
      <c r="D238" t="s">
        <v>24</v>
      </c>
      <c r="E238" t="s">
        <v>25</v>
      </c>
      <c r="F238" s="1">
        <v>45748</v>
      </c>
      <c r="G238" t="s">
        <v>18</v>
      </c>
      <c r="H238" s="2">
        <v>294442.59000000003</v>
      </c>
      <c r="I238" s="2">
        <v>302549.33</v>
      </c>
      <c r="J238" s="2">
        <v>301078.56</v>
      </c>
      <c r="K238" s="2">
        <v>300038.49</v>
      </c>
      <c r="L238" s="2">
        <f t="shared" si="12"/>
        <v>8106.7399999999907</v>
      </c>
      <c r="M238" s="4">
        <f t="shared" si="13"/>
        <v>2.7532497931090711E-2</v>
      </c>
      <c r="N238" s="2">
        <f t="shared" si="14"/>
        <v>-1470.7700000000186</v>
      </c>
      <c r="O238" s="6">
        <f t="shared" si="15"/>
        <v>0.9951387431596691</v>
      </c>
    </row>
    <row r="239" spans="1:15" x14ac:dyDescent="0.2">
      <c r="A239" t="s">
        <v>22</v>
      </c>
      <c r="B239" t="s">
        <v>23</v>
      </c>
      <c r="C239" t="s">
        <v>13</v>
      </c>
      <c r="D239" t="s">
        <v>24</v>
      </c>
      <c r="E239" t="s">
        <v>25</v>
      </c>
      <c r="F239" s="1">
        <v>45748</v>
      </c>
      <c r="G239" t="s">
        <v>19</v>
      </c>
      <c r="H239" s="2">
        <v>209511.33</v>
      </c>
      <c r="I239" s="2">
        <v>215541.42</v>
      </c>
      <c r="J239" s="2">
        <v>215017.82</v>
      </c>
      <c r="K239" s="2">
        <v>210989.14</v>
      </c>
      <c r="L239" s="2">
        <f t="shared" si="12"/>
        <v>6030.0900000000256</v>
      </c>
      <c r="M239" s="4">
        <f t="shared" si="13"/>
        <v>2.87816892766612E-2</v>
      </c>
      <c r="N239" s="2">
        <f t="shared" si="14"/>
        <v>-523.60000000000582</v>
      </c>
      <c r="O239" s="6">
        <f t="shared" si="15"/>
        <v>0.99757076853256321</v>
      </c>
    </row>
    <row r="240" spans="1:15" x14ac:dyDescent="0.2">
      <c r="A240" t="s">
        <v>22</v>
      </c>
      <c r="B240" t="s">
        <v>23</v>
      </c>
      <c r="C240" t="s">
        <v>13</v>
      </c>
      <c r="D240" t="s">
        <v>24</v>
      </c>
      <c r="E240" t="s">
        <v>25</v>
      </c>
      <c r="F240" s="1">
        <v>45748</v>
      </c>
      <c r="G240" t="s">
        <v>20</v>
      </c>
      <c r="H240" s="2">
        <v>50692.71</v>
      </c>
      <c r="I240" s="2">
        <v>49094.84</v>
      </c>
      <c r="J240" s="2">
        <v>50275.97</v>
      </c>
      <c r="K240" s="2">
        <v>49735.57</v>
      </c>
      <c r="L240" s="2">
        <f t="shared" si="12"/>
        <v>-1597.8700000000026</v>
      </c>
      <c r="M240" s="4">
        <f t="shared" si="13"/>
        <v>-3.1520705837190452E-2</v>
      </c>
      <c r="N240" s="2">
        <f t="shared" si="14"/>
        <v>1181.1300000000047</v>
      </c>
      <c r="O240" s="6">
        <f t="shared" si="15"/>
        <v>1.0240581291231421</v>
      </c>
    </row>
    <row r="241" spans="1:15" x14ac:dyDescent="0.2">
      <c r="A241" t="s">
        <v>22</v>
      </c>
      <c r="B241" t="s">
        <v>23</v>
      </c>
      <c r="C241" t="s">
        <v>13</v>
      </c>
      <c r="D241" t="s">
        <v>24</v>
      </c>
      <c r="E241" t="s">
        <v>25</v>
      </c>
      <c r="F241" s="1">
        <v>45748</v>
      </c>
      <c r="G241" t="s">
        <v>21</v>
      </c>
      <c r="H241" s="2">
        <v>77250.98</v>
      </c>
      <c r="I241" s="2">
        <v>78329.399999999994</v>
      </c>
      <c r="J241" s="2">
        <v>78118.33</v>
      </c>
      <c r="K241" s="2">
        <v>78546.320000000007</v>
      </c>
      <c r="L241" s="2">
        <f t="shared" si="12"/>
        <v>1078.4199999999983</v>
      </c>
      <c r="M241" s="4">
        <f t="shared" si="13"/>
        <v>1.3959952352707996E-2</v>
      </c>
      <c r="N241" s="2">
        <f t="shared" si="14"/>
        <v>-211.06999999999243</v>
      </c>
      <c r="O241" s="6">
        <f t="shared" si="15"/>
        <v>0.99730535405607612</v>
      </c>
    </row>
    <row r="242" spans="1:15" x14ac:dyDescent="0.2">
      <c r="A242" t="s">
        <v>22</v>
      </c>
      <c r="B242" t="s">
        <v>23</v>
      </c>
      <c r="C242" t="s">
        <v>13</v>
      </c>
      <c r="D242" t="s">
        <v>24</v>
      </c>
      <c r="E242" t="s">
        <v>25</v>
      </c>
      <c r="F242" s="1">
        <v>45778</v>
      </c>
      <c r="G242" t="s">
        <v>16</v>
      </c>
      <c r="H242" s="2">
        <v>455786.62</v>
      </c>
      <c r="I242" s="2">
        <v>496548.18</v>
      </c>
      <c r="J242" s="2">
        <v>463864.79</v>
      </c>
      <c r="K242" s="2">
        <v>476858.75</v>
      </c>
      <c r="L242" s="2">
        <f t="shared" si="12"/>
        <v>40761.56</v>
      </c>
      <c r="M242" s="4">
        <f t="shared" si="13"/>
        <v>8.9431234291168962E-2</v>
      </c>
      <c r="N242" s="2">
        <f t="shared" si="14"/>
        <v>-32683.390000000014</v>
      </c>
      <c r="O242" s="6">
        <f t="shared" si="15"/>
        <v>0.93417881422906435</v>
      </c>
    </row>
    <row r="243" spans="1:15" x14ac:dyDescent="0.2">
      <c r="A243" t="s">
        <v>22</v>
      </c>
      <c r="B243" t="s">
        <v>23</v>
      </c>
      <c r="C243" t="s">
        <v>13</v>
      </c>
      <c r="D243" t="s">
        <v>24</v>
      </c>
      <c r="E243" t="s">
        <v>25</v>
      </c>
      <c r="F243" s="1">
        <v>45778</v>
      </c>
      <c r="G243" t="s">
        <v>17</v>
      </c>
      <c r="H243" s="2">
        <v>373064.58</v>
      </c>
      <c r="I243" s="2">
        <v>379532.29</v>
      </c>
      <c r="J243" s="2">
        <v>375759.73</v>
      </c>
      <c r="K243" s="2">
        <v>383175.8</v>
      </c>
      <c r="L243" s="2">
        <f t="shared" si="12"/>
        <v>6467.7099999999627</v>
      </c>
      <c r="M243" s="4">
        <f t="shared" si="13"/>
        <v>1.7336703473698742E-2</v>
      </c>
      <c r="N243" s="2">
        <f t="shared" si="14"/>
        <v>-3772.5599999999977</v>
      </c>
      <c r="O243" s="6">
        <f t="shared" si="15"/>
        <v>0.9900599761880603</v>
      </c>
    </row>
    <row r="244" spans="1:15" x14ac:dyDescent="0.2">
      <c r="A244" t="s">
        <v>22</v>
      </c>
      <c r="B244" t="s">
        <v>23</v>
      </c>
      <c r="C244" t="s">
        <v>13</v>
      </c>
      <c r="D244" t="s">
        <v>24</v>
      </c>
      <c r="E244" t="s">
        <v>25</v>
      </c>
      <c r="F244" s="1">
        <v>45778</v>
      </c>
      <c r="G244" t="s">
        <v>18</v>
      </c>
      <c r="H244" s="2">
        <v>281593.88</v>
      </c>
      <c r="I244" s="2">
        <v>289279.75</v>
      </c>
      <c r="J244" s="2">
        <v>288097.93</v>
      </c>
      <c r="K244" s="2">
        <v>289594.28999999998</v>
      </c>
      <c r="L244" s="2">
        <f t="shared" si="12"/>
        <v>7685.8699999999953</v>
      </c>
      <c r="M244" s="4">
        <f t="shared" si="13"/>
        <v>2.7294165626042709E-2</v>
      </c>
      <c r="N244" s="2">
        <f t="shared" si="14"/>
        <v>-1181.820000000007</v>
      </c>
      <c r="O244" s="6">
        <f t="shared" si="15"/>
        <v>0.99591461206669318</v>
      </c>
    </row>
    <row r="245" spans="1:15" x14ac:dyDescent="0.2">
      <c r="A245" t="s">
        <v>22</v>
      </c>
      <c r="B245" t="s">
        <v>23</v>
      </c>
      <c r="C245" t="s">
        <v>13</v>
      </c>
      <c r="D245" t="s">
        <v>24</v>
      </c>
      <c r="E245" t="s">
        <v>25</v>
      </c>
      <c r="F245" s="1">
        <v>45778</v>
      </c>
      <c r="G245" t="s">
        <v>19</v>
      </c>
      <c r="H245" s="2">
        <v>207963.73</v>
      </c>
      <c r="I245" s="2">
        <v>215116.66</v>
      </c>
      <c r="J245" s="2">
        <v>209080.11</v>
      </c>
      <c r="K245" s="2">
        <v>214715.53</v>
      </c>
      <c r="L245" s="2">
        <f t="shared" si="12"/>
        <v>7152.929999999993</v>
      </c>
      <c r="M245" s="4">
        <f t="shared" si="13"/>
        <v>3.4395084181265613E-2</v>
      </c>
      <c r="N245" s="2">
        <f t="shared" si="14"/>
        <v>-6036.5500000000175</v>
      </c>
      <c r="O245" s="6">
        <f t="shared" si="15"/>
        <v>0.97193824969205078</v>
      </c>
    </row>
    <row r="246" spans="1:15" x14ac:dyDescent="0.2">
      <c r="A246" t="s">
        <v>22</v>
      </c>
      <c r="B246" t="s">
        <v>23</v>
      </c>
      <c r="C246" t="s">
        <v>13</v>
      </c>
      <c r="D246" t="s">
        <v>24</v>
      </c>
      <c r="E246" t="s">
        <v>25</v>
      </c>
      <c r="F246" s="1">
        <v>45778</v>
      </c>
      <c r="G246" t="s">
        <v>20</v>
      </c>
      <c r="H246" s="2">
        <v>48848.39</v>
      </c>
      <c r="I246" s="2">
        <v>48736.53</v>
      </c>
      <c r="J246" s="2">
        <v>49344.65</v>
      </c>
      <c r="K246" s="2">
        <v>49383.67</v>
      </c>
      <c r="L246" s="2">
        <f t="shared" si="12"/>
        <v>-111.86000000000058</v>
      </c>
      <c r="M246" s="4">
        <f t="shared" si="13"/>
        <v>-2.2899424116127592E-3</v>
      </c>
      <c r="N246" s="2">
        <f t="shared" si="14"/>
        <v>608.12000000000262</v>
      </c>
      <c r="O246" s="6">
        <f t="shared" si="15"/>
        <v>1.0124777040958806</v>
      </c>
    </row>
    <row r="247" spans="1:15" x14ac:dyDescent="0.2">
      <c r="A247" t="s">
        <v>22</v>
      </c>
      <c r="B247" t="s">
        <v>23</v>
      </c>
      <c r="C247" t="s">
        <v>13</v>
      </c>
      <c r="D247" t="s">
        <v>24</v>
      </c>
      <c r="E247" t="s">
        <v>25</v>
      </c>
      <c r="F247" s="1">
        <v>45778</v>
      </c>
      <c r="G247" t="s">
        <v>21</v>
      </c>
      <c r="H247" s="2">
        <v>78742.509999999995</v>
      </c>
      <c r="I247" s="2">
        <v>81105.87</v>
      </c>
      <c r="J247" s="2">
        <v>80168.759999999995</v>
      </c>
      <c r="K247" s="2">
        <v>79503.39</v>
      </c>
      <c r="L247" s="2">
        <f t="shared" si="12"/>
        <v>2363.3600000000006</v>
      </c>
      <c r="M247" s="4">
        <f t="shared" si="13"/>
        <v>3.0013775278436017E-2</v>
      </c>
      <c r="N247" s="2">
        <f t="shared" si="14"/>
        <v>-937.11000000000058</v>
      </c>
      <c r="O247" s="6">
        <f t="shared" si="15"/>
        <v>0.98844584245258693</v>
      </c>
    </row>
    <row r="248" spans="1:15" x14ac:dyDescent="0.2">
      <c r="A248" t="s">
        <v>22</v>
      </c>
      <c r="B248" t="s">
        <v>23</v>
      </c>
      <c r="C248" t="s">
        <v>13</v>
      </c>
      <c r="D248" t="s">
        <v>24</v>
      </c>
      <c r="E248" t="s">
        <v>25</v>
      </c>
      <c r="F248" s="1">
        <v>45809</v>
      </c>
      <c r="G248" t="s">
        <v>16</v>
      </c>
      <c r="H248" s="2">
        <v>479265.99</v>
      </c>
      <c r="I248" s="2">
        <v>535655.9</v>
      </c>
      <c r="J248" s="2">
        <v>477530.39</v>
      </c>
      <c r="K248" s="2">
        <v>510971.72</v>
      </c>
      <c r="L248" s="2">
        <f t="shared" si="12"/>
        <v>56389.910000000033</v>
      </c>
      <c r="M248" s="4">
        <f t="shared" si="13"/>
        <v>0.11765890168839235</v>
      </c>
      <c r="N248" s="2">
        <f t="shared" si="14"/>
        <v>-58125.510000000009</v>
      </c>
      <c r="O248" s="6">
        <f t="shared" si="15"/>
        <v>0.89148722155398641</v>
      </c>
    </row>
    <row r="249" spans="1:15" x14ac:dyDescent="0.2">
      <c r="A249" t="s">
        <v>22</v>
      </c>
      <c r="B249" t="s">
        <v>23</v>
      </c>
      <c r="C249" t="s">
        <v>13</v>
      </c>
      <c r="D249" t="s">
        <v>24</v>
      </c>
      <c r="E249" t="s">
        <v>25</v>
      </c>
      <c r="F249" s="1">
        <v>45809</v>
      </c>
      <c r="G249" t="s">
        <v>17</v>
      </c>
      <c r="H249" s="2">
        <v>382899.58</v>
      </c>
      <c r="I249" s="2">
        <v>377267.16</v>
      </c>
      <c r="J249" s="2">
        <v>379563.12</v>
      </c>
      <c r="K249" s="2">
        <v>376786.64</v>
      </c>
      <c r="L249" s="2">
        <f t="shared" si="12"/>
        <v>-5632.4200000000419</v>
      </c>
      <c r="M249" s="4">
        <f t="shared" si="13"/>
        <v>-1.4709914280919403E-2</v>
      </c>
      <c r="N249" s="2">
        <f t="shared" si="14"/>
        <v>2295.960000000021</v>
      </c>
      <c r="O249" s="6">
        <f t="shared" si="15"/>
        <v>1.0060857669138232</v>
      </c>
    </row>
    <row r="250" spans="1:15" x14ac:dyDescent="0.2">
      <c r="A250" t="s">
        <v>22</v>
      </c>
      <c r="B250" t="s">
        <v>23</v>
      </c>
      <c r="C250" t="s">
        <v>13</v>
      </c>
      <c r="D250" t="s">
        <v>24</v>
      </c>
      <c r="E250" t="s">
        <v>25</v>
      </c>
      <c r="F250" s="1">
        <v>45809</v>
      </c>
      <c r="G250" t="s">
        <v>18</v>
      </c>
      <c r="H250" s="2">
        <v>294687.95</v>
      </c>
      <c r="I250" s="2">
        <v>296734.02</v>
      </c>
      <c r="J250" s="2">
        <v>289852.81</v>
      </c>
      <c r="K250" s="2">
        <v>299192.13</v>
      </c>
      <c r="L250" s="2">
        <f t="shared" si="12"/>
        <v>2046.070000000007</v>
      </c>
      <c r="M250" s="4">
        <f t="shared" si="13"/>
        <v>6.9431749754274201E-3</v>
      </c>
      <c r="N250" s="2">
        <f t="shared" si="14"/>
        <v>-6881.210000000021</v>
      </c>
      <c r="O250" s="6">
        <f t="shared" si="15"/>
        <v>0.97681017498431755</v>
      </c>
    </row>
    <row r="251" spans="1:15" x14ac:dyDescent="0.2">
      <c r="A251" t="s">
        <v>22</v>
      </c>
      <c r="B251" t="s">
        <v>23</v>
      </c>
      <c r="C251" t="s">
        <v>13</v>
      </c>
      <c r="D251" t="s">
        <v>24</v>
      </c>
      <c r="E251" t="s">
        <v>25</v>
      </c>
      <c r="F251" s="1">
        <v>45809</v>
      </c>
      <c r="G251" t="s">
        <v>19</v>
      </c>
      <c r="H251" s="2">
        <v>217459.09</v>
      </c>
      <c r="I251" s="2">
        <v>218801.48</v>
      </c>
      <c r="J251" s="2">
        <v>221025.37</v>
      </c>
      <c r="K251" s="2">
        <v>221537</v>
      </c>
      <c r="L251" s="2">
        <f t="shared" si="12"/>
        <v>1342.390000000014</v>
      </c>
      <c r="M251" s="4">
        <f t="shared" si="13"/>
        <v>6.1730691506159344E-3</v>
      </c>
      <c r="N251" s="2">
        <f t="shared" si="14"/>
        <v>2223.8899999999849</v>
      </c>
      <c r="O251" s="6">
        <f t="shared" si="15"/>
        <v>1.0101639623278598</v>
      </c>
    </row>
    <row r="252" spans="1:15" x14ac:dyDescent="0.2">
      <c r="A252" t="s">
        <v>22</v>
      </c>
      <c r="B252" t="s">
        <v>23</v>
      </c>
      <c r="C252" t="s">
        <v>13</v>
      </c>
      <c r="D252" t="s">
        <v>24</v>
      </c>
      <c r="E252" t="s">
        <v>25</v>
      </c>
      <c r="F252" s="1">
        <v>45809</v>
      </c>
      <c r="G252" t="s">
        <v>20</v>
      </c>
      <c r="H252" s="2">
        <v>49196.59</v>
      </c>
      <c r="I252" s="2">
        <v>50651.8</v>
      </c>
      <c r="J252" s="2">
        <v>47896.87</v>
      </c>
      <c r="K252" s="2">
        <v>49875.46</v>
      </c>
      <c r="L252" s="2">
        <f t="shared" si="12"/>
        <v>1455.2100000000064</v>
      </c>
      <c r="M252" s="4">
        <f t="shared" si="13"/>
        <v>2.9579489147520316E-2</v>
      </c>
      <c r="N252" s="2">
        <f t="shared" si="14"/>
        <v>-2754.9300000000003</v>
      </c>
      <c r="O252" s="6">
        <f t="shared" si="15"/>
        <v>0.94561042253187444</v>
      </c>
    </row>
    <row r="253" spans="1:15" x14ac:dyDescent="0.2">
      <c r="A253" t="s">
        <v>22</v>
      </c>
      <c r="B253" t="s">
        <v>23</v>
      </c>
      <c r="C253" t="s">
        <v>13</v>
      </c>
      <c r="D253" t="s">
        <v>24</v>
      </c>
      <c r="E253" t="s">
        <v>25</v>
      </c>
      <c r="F253" s="1">
        <v>45809</v>
      </c>
      <c r="G253" t="s">
        <v>21</v>
      </c>
      <c r="H253" s="2">
        <v>75467.89</v>
      </c>
      <c r="I253" s="2">
        <v>74773.56</v>
      </c>
      <c r="J253" s="2">
        <v>76229.119999999995</v>
      </c>
      <c r="K253" s="2">
        <v>74909.06</v>
      </c>
      <c r="L253" s="2">
        <f t="shared" si="12"/>
        <v>-694.33000000000175</v>
      </c>
      <c r="M253" s="4">
        <f t="shared" si="13"/>
        <v>-9.2003367259903754E-3</v>
      </c>
      <c r="N253" s="2">
        <f t="shared" si="14"/>
        <v>1455.5599999999977</v>
      </c>
      <c r="O253" s="6">
        <f t="shared" si="15"/>
        <v>1.0194662391358655</v>
      </c>
    </row>
    <row r="254" spans="1:15" x14ac:dyDescent="0.2">
      <c r="A254" t="s">
        <v>22</v>
      </c>
      <c r="B254" t="s">
        <v>23</v>
      </c>
      <c r="C254" t="s">
        <v>13</v>
      </c>
      <c r="D254" t="s">
        <v>24</v>
      </c>
      <c r="E254" t="s">
        <v>25</v>
      </c>
      <c r="F254" s="1">
        <v>45839</v>
      </c>
      <c r="G254" t="s">
        <v>16</v>
      </c>
      <c r="H254" s="2">
        <v>456646.32</v>
      </c>
      <c r="I254" s="2">
        <v>510914.1</v>
      </c>
      <c r="J254" s="2">
        <v>443326.16</v>
      </c>
      <c r="K254" s="2">
        <v>497608.89</v>
      </c>
      <c r="L254" s="2">
        <f t="shared" si="12"/>
        <v>54267.77999999997</v>
      </c>
      <c r="M254" s="4">
        <f t="shared" si="13"/>
        <v>0.11883984962366492</v>
      </c>
      <c r="N254" s="2">
        <f t="shared" si="14"/>
        <v>-67587.94</v>
      </c>
      <c r="O254" s="6">
        <f t="shared" si="15"/>
        <v>0.86771173471235186</v>
      </c>
    </row>
    <row r="255" spans="1:15" x14ac:dyDescent="0.2">
      <c r="A255" t="s">
        <v>22</v>
      </c>
      <c r="B255" t="s">
        <v>23</v>
      </c>
      <c r="C255" t="s">
        <v>13</v>
      </c>
      <c r="D255" t="s">
        <v>24</v>
      </c>
      <c r="E255" t="s">
        <v>25</v>
      </c>
      <c r="F255" s="1">
        <v>45839</v>
      </c>
      <c r="G255" t="s">
        <v>17</v>
      </c>
      <c r="H255" s="2">
        <v>357638.95</v>
      </c>
      <c r="I255" s="2">
        <v>369618.78</v>
      </c>
      <c r="J255" s="2">
        <v>356459.79</v>
      </c>
      <c r="K255" s="2">
        <v>367539.7</v>
      </c>
      <c r="L255" s="2">
        <f t="shared" si="12"/>
        <v>11979.830000000016</v>
      </c>
      <c r="M255" s="4">
        <f t="shared" si="13"/>
        <v>3.3496994664591245E-2</v>
      </c>
      <c r="N255" s="2">
        <f t="shared" si="14"/>
        <v>-13158.990000000049</v>
      </c>
      <c r="O255" s="6">
        <f t="shared" si="15"/>
        <v>0.96439848105120618</v>
      </c>
    </row>
    <row r="256" spans="1:15" x14ac:dyDescent="0.2">
      <c r="A256" t="s">
        <v>22</v>
      </c>
      <c r="B256" t="s">
        <v>23</v>
      </c>
      <c r="C256" t="s">
        <v>13</v>
      </c>
      <c r="D256" t="s">
        <v>24</v>
      </c>
      <c r="E256" t="s">
        <v>25</v>
      </c>
      <c r="F256" s="1">
        <v>45839</v>
      </c>
      <c r="G256" t="s">
        <v>18</v>
      </c>
      <c r="H256" s="2">
        <v>296454.28000000003</v>
      </c>
      <c r="I256" s="2">
        <v>291696.01</v>
      </c>
      <c r="J256" s="2">
        <v>295936.07</v>
      </c>
      <c r="K256" s="2">
        <v>298503.78999999998</v>
      </c>
      <c r="L256" s="2">
        <f t="shared" si="12"/>
        <v>-4758.2700000000186</v>
      </c>
      <c r="M256" s="4">
        <f t="shared" si="13"/>
        <v>-1.6050603148654214E-2</v>
      </c>
      <c r="N256" s="2">
        <f t="shared" si="14"/>
        <v>4240.0599999999977</v>
      </c>
      <c r="O256" s="6">
        <f t="shared" si="15"/>
        <v>1.0145358861782168</v>
      </c>
    </row>
    <row r="257" spans="1:15" x14ac:dyDescent="0.2">
      <c r="A257" t="s">
        <v>22</v>
      </c>
      <c r="B257" t="s">
        <v>23</v>
      </c>
      <c r="C257" t="s">
        <v>13</v>
      </c>
      <c r="D257" t="s">
        <v>24</v>
      </c>
      <c r="E257" t="s">
        <v>25</v>
      </c>
      <c r="F257" s="1">
        <v>45839</v>
      </c>
      <c r="G257" t="s">
        <v>19</v>
      </c>
      <c r="H257" s="2">
        <v>219334.73</v>
      </c>
      <c r="I257" s="2">
        <v>216977.51</v>
      </c>
      <c r="J257" s="2">
        <v>215092.01</v>
      </c>
      <c r="K257" s="2">
        <v>215974.71</v>
      </c>
      <c r="L257" s="2">
        <f t="shared" si="12"/>
        <v>-2357.2200000000012</v>
      </c>
      <c r="M257" s="4">
        <f t="shared" si="13"/>
        <v>-1.0747135212011344E-2</v>
      </c>
      <c r="N257" s="2">
        <f t="shared" si="14"/>
        <v>-1885.5</v>
      </c>
      <c r="O257" s="6">
        <f t="shared" si="15"/>
        <v>0.99131015928793731</v>
      </c>
    </row>
    <row r="258" spans="1:15" x14ac:dyDescent="0.2">
      <c r="A258" t="s">
        <v>22</v>
      </c>
      <c r="B258" t="s">
        <v>23</v>
      </c>
      <c r="C258" t="s">
        <v>13</v>
      </c>
      <c r="D258" t="s">
        <v>24</v>
      </c>
      <c r="E258" t="s">
        <v>25</v>
      </c>
      <c r="F258" s="1">
        <v>45839</v>
      </c>
      <c r="G258" t="s">
        <v>20</v>
      </c>
      <c r="H258" s="2">
        <v>52661.11</v>
      </c>
      <c r="I258" s="2">
        <v>52057.61</v>
      </c>
      <c r="J258" s="2">
        <v>51782.720000000001</v>
      </c>
      <c r="K258" s="2">
        <v>52298.3</v>
      </c>
      <c r="L258" s="2">
        <f t="shared" ref="L258:L321" si="16">I258-H258</f>
        <v>-603.5</v>
      </c>
      <c r="M258" s="4">
        <f t="shared" ref="M258:M321" si="17">L258/H258</f>
        <v>-1.146006986939698E-2</v>
      </c>
      <c r="N258" s="2">
        <f t="shared" ref="N258:N321" si="18">J258-I258</f>
        <v>-274.88999999999942</v>
      </c>
      <c r="O258" s="6">
        <f t="shared" ref="O258:O321" si="19">J258/I258</f>
        <v>0.99471950402640463</v>
      </c>
    </row>
    <row r="259" spans="1:15" x14ac:dyDescent="0.2">
      <c r="A259" t="s">
        <v>22</v>
      </c>
      <c r="B259" t="s">
        <v>23</v>
      </c>
      <c r="C259" t="s">
        <v>13</v>
      </c>
      <c r="D259" t="s">
        <v>24</v>
      </c>
      <c r="E259" t="s">
        <v>25</v>
      </c>
      <c r="F259" s="1">
        <v>45839</v>
      </c>
      <c r="G259" t="s">
        <v>21</v>
      </c>
      <c r="H259" s="2">
        <v>81580.33</v>
      </c>
      <c r="I259" s="2">
        <v>80282.69</v>
      </c>
      <c r="J259" s="2">
        <v>83953.85</v>
      </c>
      <c r="K259" s="2">
        <v>80439.72</v>
      </c>
      <c r="L259" s="2">
        <f t="shared" si="16"/>
        <v>-1297.6399999999994</v>
      </c>
      <c r="M259" s="4">
        <f t="shared" si="17"/>
        <v>-1.5906285252829933E-2</v>
      </c>
      <c r="N259" s="2">
        <f t="shared" si="18"/>
        <v>3671.1600000000035</v>
      </c>
      <c r="O259" s="6">
        <f t="shared" si="19"/>
        <v>1.0457279146974274</v>
      </c>
    </row>
    <row r="260" spans="1:15" x14ac:dyDescent="0.2">
      <c r="A260" t="s">
        <v>22</v>
      </c>
      <c r="B260" t="s">
        <v>23</v>
      </c>
      <c r="C260" t="s">
        <v>13</v>
      </c>
      <c r="D260" t="s">
        <v>24</v>
      </c>
      <c r="E260" t="s">
        <v>25</v>
      </c>
      <c r="F260" s="1">
        <v>45870</v>
      </c>
      <c r="G260" t="s">
        <v>16</v>
      </c>
      <c r="H260" s="2">
        <v>463345.3</v>
      </c>
      <c r="I260" s="2">
        <v>535847.99</v>
      </c>
      <c r="J260" s="2">
        <v>466936.87</v>
      </c>
      <c r="K260" s="2">
        <v>506977.07</v>
      </c>
      <c r="L260" s="2">
        <f t="shared" si="16"/>
        <v>72502.69</v>
      </c>
      <c r="M260" s="4">
        <f t="shared" si="17"/>
        <v>0.15647658452562269</v>
      </c>
      <c r="N260" s="2">
        <f t="shared" si="18"/>
        <v>-68911.12</v>
      </c>
      <c r="O260" s="6">
        <f t="shared" si="19"/>
        <v>0.87139800599046757</v>
      </c>
    </row>
    <row r="261" spans="1:15" x14ac:dyDescent="0.2">
      <c r="A261" t="s">
        <v>22</v>
      </c>
      <c r="B261" t="s">
        <v>23</v>
      </c>
      <c r="C261" t="s">
        <v>13</v>
      </c>
      <c r="D261" t="s">
        <v>24</v>
      </c>
      <c r="E261" t="s">
        <v>25</v>
      </c>
      <c r="F261" s="1">
        <v>45870</v>
      </c>
      <c r="G261" t="s">
        <v>17</v>
      </c>
      <c r="H261" s="2">
        <v>375332.79</v>
      </c>
      <c r="I261" s="2">
        <v>373774.39</v>
      </c>
      <c r="J261" s="2">
        <v>385603.23</v>
      </c>
      <c r="K261" s="2">
        <v>373923.15</v>
      </c>
      <c r="L261" s="2">
        <f t="shared" si="16"/>
        <v>-1558.3999999999651</v>
      </c>
      <c r="M261" s="4">
        <f t="shared" si="17"/>
        <v>-4.1520486392887896E-3</v>
      </c>
      <c r="N261" s="2">
        <f t="shared" si="18"/>
        <v>11828.839999999967</v>
      </c>
      <c r="O261" s="6">
        <f t="shared" si="19"/>
        <v>1.0316470050288891</v>
      </c>
    </row>
    <row r="262" spans="1:15" x14ac:dyDescent="0.2">
      <c r="A262" t="s">
        <v>22</v>
      </c>
      <c r="B262" t="s">
        <v>23</v>
      </c>
      <c r="C262" t="s">
        <v>13</v>
      </c>
      <c r="D262" t="s">
        <v>24</v>
      </c>
      <c r="E262" t="s">
        <v>25</v>
      </c>
      <c r="F262" s="1">
        <v>45870</v>
      </c>
      <c r="G262" t="s">
        <v>18</v>
      </c>
      <c r="H262" s="2">
        <v>294641.34999999998</v>
      </c>
      <c r="I262" s="2">
        <v>295903.13</v>
      </c>
      <c r="J262" s="2">
        <v>293095.31</v>
      </c>
      <c r="K262" s="2">
        <v>299960.17</v>
      </c>
      <c r="L262" s="2">
        <f t="shared" si="16"/>
        <v>1261.7800000000279</v>
      </c>
      <c r="M262" s="4">
        <f t="shared" si="17"/>
        <v>4.2824267537466413E-3</v>
      </c>
      <c r="N262" s="2">
        <f t="shared" si="18"/>
        <v>-2807.820000000007</v>
      </c>
      <c r="O262" s="6">
        <f t="shared" si="19"/>
        <v>0.99051101622345117</v>
      </c>
    </row>
    <row r="263" spans="1:15" x14ac:dyDescent="0.2">
      <c r="A263" t="s">
        <v>22</v>
      </c>
      <c r="B263" t="s">
        <v>23</v>
      </c>
      <c r="C263" t="s">
        <v>13</v>
      </c>
      <c r="D263" t="s">
        <v>24</v>
      </c>
      <c r="E263" t="s">
        <v>25</v>
      </c>
      <c r="F263" s="1">
        <v>45870</v>
      </c>
      <c r="G263" t="s">
        <v>19</v>
      </c>
      <c r="H263" s="2">
        <v>213632.63</v>
      </c>
      <c r="I263" s="2">
        <v>215520.14</v>
      </c>
      <c r="J263" s="2">
        <v>207450.05</v>
      </c>
      <c r="K263" s="2">
        <v>214667.72</v>
      </c>
      <c r="L263" s="2">
        <f t="shared" si="16"/>
        <v>1887.5100000000093</v>
      </c>
      <c r="M263" s="4">
        <f t="shared" si="17"/>
        <v>8.8353076025886549E-3</v>
      </c>
      <c r="N263" s="2">
        <f t="shared" si="18"/>
        <v>-8070.0900000000256</v>
      </c>
      <c r="O263" s="6">
        <f t="shared" si="19"/>
        <v>0.96255528601642504</v>
      </c>
    </row>
    <row r="264" spans="1:15" x14ac:dyDescent="0.2">
      <c r="A264" t="s">
        <v>22</v>
      </c>
      <c r="B264" t="s">
        <v>23</v>
      </c>
      <c r="C264" t="s">
        <v>13</v>
      </c>
      <c r="D264" t="s">
        <v>24</v>
      </c>
      <c r="E264" t="s">
        <v>25</v>
      </c>
      <c r="F264" s="1">
        <v>45870</v>
      </c>
      <c r="G264" t="s">
        <v>20</v>
      </c>
      <c r="H264" s="2">
        <v>51783.16</v>
      </c>
      <c r="I264" s="2">
        <v>51623.21</v>
      </c>
      <c r="J264" s="2">
        <v>52153.96</v>
      </c>
      <c r="K264" s="2">
        <v>52333.52</v>
      </c>
      <c r="L264" s="2">
        <f t="shared" si="16"/>
        <v>-159.95000000000437</v>
      </c>
      <c r="M264" s="4">
        <f t="shared" si="17"/>
        <v>-3.0888420096418286E-3</v>
      </c>
      <c r="N264" s="2">
        <f t="shared" si="18"/>
        <v>530.75</v>
      </c>
      <c r="O264" s="6">
        <f t="shared" si="19"/>
        <v>1.0102812281529956</v>
      </c>
    </row>
    <row r="265" spans="1:15" x14ac:dyDescent="0.2">
      <c r="A265" t="s">
        <v>22</v>
      </c>
      <c r="B265" t="s">
        <v>23</v>
      </c>
      <c r="C265" t="s">
        <v>13</v>
      </c>
      <c r="D265" t="s">
        <v>24</v>
      </c>
      <c r="E265" t="s">
        <v>25</v>
      </c>
      <c r="F265" s="1">
        <v>45870</v>
      </c>
      <c r="G265" t="s">
        <v>21</v>
      </c>
      <c r="H265" s="2">
        <v>78491.149999999994</v>
      </c>
      <c r="I265" s="2">
        <v>79174.28</v>
      </c>
      <c r="J265" s="2">
        <v>78384.84</v>
      </c>
      <c r="K265" s="2">
        <v>80298.539999999994</v>
      </c>
      <c r="L265" s="2">
        <f t="shared" si="16"/>
        <v>683.13000000000466</v>
      </c>
      <c r="M265" s="4">
        <f t="shared" si="17"/>
        <v>8.7032741907846264E-3</v>
      </c>
      <c r="N265" s="2">
        <f t="shared" si="18"/>
        <v>-789.44000000000233</v>
      </c>
      <c r="O265" s="6">
        <f t="shared" si="19"/>
        <v>0.99002908520292188</v>
      </c>
    </row>
    <row r="266" spans="1:15" x14ac:dyDescent="0.2">
      <c r="A266" t="s">
        <v>22</v>
      </c>
      <c r="B266" t="s">
        <v>23</v>
      </c>
      <c r="C266" t="s">
        <v>13</v>
      </c>
      <c r="D266" t="s">
        <v>24</v>
      </c>
      <c r="E266" t="s">
        <v>25</v>
      </c>
      <c r="F266" s="1">
        <v>45901</v>
      </c>
      <c r="G266" t="s">
        <v>16</v>
      </c>
      <c r="H266" s="2">
        <v>480725.94</v>
      </c>
      <c r="I266" s="2">
        <v>531706.59</v>
      </c>
      <c r="J266" s="2">
        <v>487565.14</v>
      </c>
      <c r="K266" s="2">
        <v>516837.8</v>
      </c>
      <c r="L266" s="2">
        <f t="shared" si="16"/>
        <v>50980.649999999965</v>
      </c>
      <c r="M266" s="4">
        <f t="shared" si="17"/>
        <v>0.10604930118811555</v>
      </c>
      <c r="N266" s="2">
        <f t="shared" si="18"/>
        <v>-44141.449999999953</v>
      </c>
      <c r="O266" s="6">
        <f t="shared" si="19"/>
        <v>0.91698156308350443</v>
      </c>
    </row>
    <row r="267" spans="1:15" x14ac:dyDescent="0.2">
      <c r="A267" t="s">
        <v>22</v>
      </c>
      <c r="B267" t="s">
        <v>23</v>
      </c>
      <c r="C267" t="s">
        <v>13</v>
      </c>
      <c r="D267" t="s">
        <v>24</v>
      </c>
      <c r="E267" t="s">
        <v>25</v>
      </c>
      <c r="F267" s="1">
        <v>45901</v>
      </c>
      <c r="G267" t="s">
        <v>17</v>
      </c>
      <c r="H267" s="2">
        <v>394319.06</v>
      </c>
      <c r="I267" s="2">
        <v>385357.38</v>
      </c>
      <c r="J267" s="2">
        <v>393876.14</v>
      </c>
      <c r="K267" s="2">
        <v>394122.74</v>
      </c>
      <c r="L267" s="2">
        <f t="shared" si="16"/>
        <v>-8961.679999999993</v>
      </c>
      <c r="M267" s="4">
        <f t="shared" si="17"/>
        <v>-2.2726976474330186E-2</v>
      </c>
      <c r="N267" s="2">
        <f t="shared" si="18"/>
        <v>8518.7600000000093</v>
      </c>
      <c r="O267" s="6">
        <f t="shared" si="19"/>
        <v>1.0221061291209734</v>
      </c>
    </row>
    <row r="268" spans="1:15" x14ac:dyDescent="0.2">
      <c r="A268" t="s">
        <v>22</v>
      </c>
      <c r="B268" t="s">
        <v>23</v>
      </c>
      <c r="C268" t="s">
        <v>13</v>
      </c>
      <c r="D268" t="s">
        <v>24</v>
      </c>
      <c r="E268" t="s">
        <v>25</v>
      </c>
      <c r="F268" s="1">
        <v>45901</v>
      </c>
      <c r="G268" t="s">
        <v>18</v>
      </c>
      <c r="H268" s="2">
        <v>309093.27</v>
      </c>
      <c r="I268" s="2">
        <v>314011.21000000002</v>
      </c>
      <c r="J268" s="2">
        <v>300398.53000000003</v>
      </c>
      <c r="K268" s="2">
        <v>314418.68</v>
      </c>
      <c r="L268" s="2">
        <f t="shared" si="16"/>
        <v>4917.9400000000023</v>
      </c>
      <c r="M268" s="4">
        <f t="shared" si="17"/>
        <v>1.5910860822042492E-2</v>
      </c>
      <c r="N268" s="2">
        <f t="shared" si="18"/>
        <v>-13612.679999999993</v>
      </c>
      <c r="O268" s="6">
        <f t="shared" si="19"/>
        <v>0.95664906357960922</v>
      </c>
    </row>
    <row r="269" spans="1:15" x14ac:dyDescent="0.2">
      <c r="A269" t="s">
        <v>22</v>
      </c>
      <c r="B269" t="s">
        <v>23</v>
      </c>
      <c r="C269" t="s">
        <v>13</v>
      </c>
      <c r="D269" t="s">
        <v>24</v>
      </c>
      <c r="E269" t="s">
        <v>25</v>
      </c>
      <c r="F269" s="1">
        <v>45901</v>
      </c>
      <c r="G269" t="s">
        <v>19</v>
      </c>
      <c r="H269" s="2">
        <v>214569.36</v>
      </c>
      <c r="I269" s="2">
        <v>214207.59</v>
      </c>
      <c r="J269" s="2">
        <v>216913.93</v>
      </c>
      <c r="K269" s="2">
        <v>213700.23</v>
      </c>
      <c r="L269" s="2">
        <f t="shared" si="16"/>
        <v>-361.76999999998952</v>
      </c>
      <c r="M269" s="4">
        <f t="shared" si="17"/>
        <v>-1.6860282381416878E-3</v>
      </c>
      <c r="N269" s="2">
        <f t="shared" si="18"/>
        <v>2706.3399999999965</v>
      </c>
      <c r="O269" s="6">
        <f t="shared" si="19"/>
        <v>1.0126341928406926</v>
      </c>
    </row>
    <row r="270" spans="1:15" x14ac:dyDescent="0.2">
      <c r="A270" t="s">
        <v>22</v>
      </c>
      <c r="B270" t="s">
        <v>23</v>
      </c>
      <c r="C270" t="s">
        <v>13</v>
      </c>
      <c r="D270" t="s">
        <v>24</v>
      </c>
      <c r="E270" t="s">
        <v>25</v>
      </c>
      <c r="F270" s="1">
        <v>45901</v>
      </c>
      <c r="G270" t="s">
        <v>20</v>
      </c>
      <c r="H270" s="2">
        <v>53269.52</v>
      </c>
      <c r="I270" s="2">
        <v>54559.65</v>
      </c>
      <c r="J270" s="2">
        <v>52124.07</v>
      </c>
      <c r="K270" s="2">
        <v>54927.1</v>
      </c>
      <c r="L270" s="2">
        <f t="shared" si="16"/>
        <v>1290.1300000000047</v>
      </c>
      <c r="M270" s="4">
        <f t="shared" si="17"/>
        <v>2.4218915432314855E-2</v>
      </c>
      <c r="N270" s="2">
        <f t="shared" si="18"/>
        <v>-2435.5800000000017</v>
      </c>
      <c r="O270" s="6">
        <f t="shared" si="19"/>
        <v>0.95535931773755878</v>
      </c>
    </row>
    <row r="271" spans="1:15" x14ac:dyDescent="0.2">
      <c r="A271" t="s">
        <v>22</v>
      </c>
      <c r="B271" t="s">
        <v>23</v>
      </c>
      <c r="C271" t="s">
        <v>13</v>
      </c>
      <c r="D271" t="s">
        <v>24</v>
      </c>
      <c r="E271" t="s">
        <v>25</v>
      </c>
      <c r="F271" s="1">
        <v>45901</v>
      </c>
      <c r="G271" t="s">
        <v>21</v>
      </c>
      <c r="H271" s="2">
        <v>82671.88</v>
      </c>
      <c r="I271" s="2">
        <v>84872.61</v>
      </c>
      <c r="J271" s="2">
        <v>82023.41</v>
      </c>
      <c r="K271" s="2">
        <v>84896.59</v>
      </c>
      <c r="L271" s="2">
        <f t="shared" si="16"/>
        <v>2200.7299999999959</v>
      </c>
      <c r="M271" s="4">
        <f t="shared" si="17"/>
        <v>2.6620055090074108E-2</v>
      </c>
      <c r="N271" s="2">
        <f t="shared" si="18"/>
        <v>-2849.1999999999971</v>
      </c>
      <c r="O271" s="6">
        <f t="shared" si="19"/>
        <v>0.96642968797589712</v>
      </c>
    </row>
    <row r="272" spans="1:15" x14ac:dyDescent="0.2">
      <c r="A272" t="s">
        <v>22</v>
      </c>
      <c r="B272" t="s">
        <v>23</v>
      </c>
      <c r="C272" t="s">
        <v>13</v>
      </c>
      <c r="D272" t="s">
        <v>24</v>
      </c>
      <c r="E272" t="s">
        <v>25</v>
      </c>
      <c r="F272" s="1">
        <v>45931</v>
      </c>
      <c r="G272" t="s">
        <v>16</v>
      </c>
      <c r="H272" s="2">
        <v>478842.96</v>
      </c>
      <c r="I272" s="2">
        <v>543335.09</v>
      </c>
      <c r="J272" s="2">
        <v>465739.12</v>
      </c>
      <c r="K272" s="2">
        <v>526195.30000000005</v>
      </c>
      <c r="L272" s="2">
        <f t="shared" si="16"/>
        <v>64492.129999999946</v>
      </c>
      <c r="M272" s="4">
        <f t="shared" si="17"/>
        <v>0.13468325816046234</v>
      </c>
      <c r="N272" s="2">
        <f t="shared" si="18"/>
        <v>-77595.969999999972</v>
      </c>
      <c r="O272" s="6">
        <f t="shared" si="19"/>
        <v>0.85718579302507414</v>
      </c>
    </row>
    <row r="273" spans="1:15" x14ac:dyDescent="0.2">
      <c r="A273" t="s">
        <v>22</v>
      </c>
      <c r="B273" t="s">
        <v>23</v>
      </c>
      <c r="C273" t="s">
        <v>13</v>
      </c>
      <c r="D273" t="s">
        <v>24</v>
      </c>
      <c r="E273" t="s">
        <v>25</v>
      </c>
      <c r="F273" s="1">
        <v>45931</v>
      </c>
      <c r="G273" t="s">
        <v>17</v>
      </c>
      <c r="H273" s="2">
        <v>368312.22</v>
      </c>
      <c r="I273" s="2">
        <v>374175.81</v>
      </c>
      <c r="J273" s="2">
        <v>363653.19</v>
      </c>
      <c r="K273" s="2">
        <v>373806.82</v>
      </c>
      <c r="L273" s="2">
        <f t="shared" si="16"/>
        <v>5863.5900000000256</v>
      </c>
      <c r="M273" s="4">
        <f t="shared" si="17"/>
        <v>1.5920161432602008E-2</v>
      </c>
      <c r="N273" s="2">
        <f t="shared" si="18"/>
        <v>-10522.619999999995</v>
      </c>
      <c r="O273" s="6">
        <f t="shared" si="19"/>
        <v>0.97187787206233345</v>
      </c>
    </row>
    <row r="274" spans="1:15" x14ac:dyDescent="0.2">
      <c r="A274" t="s">
        <v>22</v>
      </c>
      <c r="B274" t="s">
        <v>23</v>
      </c>
      <c r="C274" t="s">
        <v>13</v>
      </c>
      <c r="D274" t="s">
        <v>24</v>
      </c>
      <c r="E274" t="s">
        <v>25</v>
      </c>
      <c r="F274" s="1">
        <v>45931</v>
      </c>
      <c r="G274" t="s">
        <v>18</v>
      </c>
      <c r="H274" s="2">
        <v>301735.43</v>
      </c>
      <c r="I274" s="2">
        <v>305222.64</v>
      </c>
      <c r="J274" s="2">
        <v>297545.63</v>
      </c>
      <c r="K274" s="2">
        <v>302662.34999999998</v>
      </c>
      <c r="L274" s="2">
        <f t="shared" si="16"/>
        <v>3487.210000000021</v>
      </c>
      <c r="M274" s="4">
        <f t="shared" si="17"/>
        <v>1.1557177756685785E-2</v>
      </c>
      <c r="N274" s="2">
        <f t="shared" si="18"/>
        <v>-7677.0100000000093</v>
      </c>
      <c r="O274" s="6">
        <f t="shared" si="19"/>
        <v>0.97484783566513933</v>
      </c>
    </row>
    <row r="275" spans="1:15" x14ac:dyDescent="0.2">
      <c r="A275" t="s">
        <v>22</v>
      </c>
      <c r="B275" t="s">
        <v>23</v>
      </c>
      <c r="C275" t="s">
        <v>13</v>
      </c>
      <c r="D275" t="s">
        <v>24</v>
      </c>
      <c r="E275" t="s">
        <v>25</v>
      </c>
      <c r="F275" s="1">
        <v>45931</v>
      </c>
      <c r="G275" t="s">
        <v>19</v>
      </c>
      <c r="H275" s="2">
        <v>225532.54</v>
      </c>
      <c r="I275" s="2">
        <v>223817.86</v>
      </c>
      <c r="J275" s="2">
        <v>222153.13</v>
      </c>
      <c r="K275" s="2">
        <v>228397.04</v>
      </c>
      <c r="L275" s="2">
        <f t="shared" si="16"/>
        <v>-1714.6800000000221</v>
      </c>
      <c r="M275" s="4">
        <f t="shared" si="17"/>
        <v>-7.6028053424132148E-3</v>
      </c>
      <c r="N275" s="2">
        <f t="shared" si="18"/>
        <v>-1664.7299999999814</v>
      </c>
      <c r="O275" s="6">
        <f t="shared" si="19"/>
        <v>0.99256212171807923</v>
      </c>
    </row>
    <row r="276" spans="1:15" x14ac:dyDescent="0.2">
      <c r="A276" t="s">
        <v>22</v>
      </c>
      <c r="B276" t="s">
        <v>23</v>
      </c>
      <c r="C276" t="s">
        <v>13</v>
      </c>
      <c r="D276" t="s">
        <v>24</v>
      </c>
      <c r="E276" t="s">
        <v>25</v>
      </c>
      <c r="F276" s="1">
        <v>45931</v>
      </c>
      <c r="G276" t="s">
        <v>20</v>
      </c>
      <c r="H276" s="2">
        <v>53028.92</v>
      </c>
      <c r="I276" s="2">
        <v>53231.08</v>
      </c>
      <c r="J276" s="2">
        <v>52855.56</v>
      </c>
      <c r="K276" s="2">
        <v>53123.98</v>
      </c>
      <c r="L276" s="2">
        <f t="shared" si="16"/>
        <v>202.16000000000349</v>
      </c>
      <c r="M276" s="4">
        <f t="shared" si="17"/>
        <v>3.8122594237258367E-3</v>
      </c>
      <c r="N276" s="2">
        <f t="shared" si="18"/>
        <v>-375.52000000000407</v>
      </c>
      <c r="O276" s="6">
        <f t="shared" si="19"/>
        <v>0.99294547471139039</v>
      </c>
    </row>
    <row r="277" spans="1:15" x14ac:dyDescent="0.2">
      <c r="A277" t="s">
        <v>22</v>
      </c>
      <c r="B277" t="s">
        <v>23</v>
      </c>
      <c r="C277" t="s">
        <v>13</v>
      </c>
      <c r="D277" t="s">
        <v>24</v>
      </c>
      <c r="E277" t="s">
        <v>25</v>
      </c>
      <c r="F277" s="1">
        <v>45931</v>
      </c>
      <c r="G277" t="s">
        <v>21</v>
      </c>
      <c r="H277" s="2">
        <v>78047.429999999993</v>
      </c>
      <c r="I277" s="2">
        <v>75957.84</v>
      </c>
      <c r="J277" s="2">
        <v>79032.84</v>
      </c>
      <c r="K277" s="2">
        <v>77950.289999999994</v>
      </c>
      <c r="L277" s="2">
        <f t="shared" si="16"/>
        <v>-2089.5899999999965</v>
      </c>
      <c r="M277" s="4">
        <f t="shared" si="17"/>
        <v>-2.6773335137364507E-2</v>
      </c>
      <c r="N277" s="2">
        <f t="shared" si="18"/>
        <v>3075</v>
      </c>
      <c r="O277" s="6">
        <f t="shared" si="19"/>
        <v>1.0404829837183365</v>
      </c>
    </row>
    <row r="278" spans="1:15" x14ac:dyDescent="0.2">
      <c r="A278" t="s">
        <v>22</v>
      </c>
      <c r="B278" t="s">
        <v>23</v>
      </c>
      <c r="C278" t="s">
        <v>13</v>
      </c>
      <c r="D278" t="s">
        <v>24</v>
      </c>
      <c r="E278" t="s">
        <v>25</v>
      </c>
      <c r="F278" s="1">
        <v>45962</v>
      </c>
      <c r="G278" t="s">
        <v>16</v>
      </c>
      <c r="H278" s="2">
        <v>501870.79</v>
      </c>
      <c r="I278" s="2">
        <v>575713.68000000005</v>
      </c>
      <c r="J278" s="2">
        <v>491659.8</v>
      </c>
      <c r="K278" s="2">
        <v>558154.41</v>
      </c>
      <c r="L278" s="2">
        <f t="shared" si="16"/>
        <v>73842.890000000072</v>
      </c>
      <c r="M278" s="4">
        <f t="shared" si="17"/>
        <v>0.14713526164772425</v>
      </c>
      <c r="N278" s="2">
        <f t="shared" si="18"/>
        <v>-84053.880000000063</v>
      </c>
      <c r="O278" s="6">
        <f t="shared" si="19"/>
        <v>0.85400055110727946</v>
      </c>
    </row>
    <row r="279" spans="1:15" x14ac:dyDescent="0.2">
      <c r="A279" t="s">
        <v>22</v>
      </c>
      <c r="B279" t="s">
        <v>23</v>
      </c>
      <c r="C279" t="s">
        <v>13</v>
      </c>
      <c r="D279" t="s">
        <v>24</v>
      </c>
      <c r="E279" t="s">
        <v>25</v>
      </c>
      <c r="F279" s="1">
        <v>45962</v>
      </c>
      <c r="G279" t="s">
        <v>17</v>
      </c>
      <c r="H279" s="2">
        <v>373074.32</v>
      </c>
      <c r="I279" s="2">
        <v>377020.88</v>
      </c>
      <c r="J279" s="2">
        <v>381872.92</v>
      </c>
      <c r="K279" s="2">
        <v>378997.47</v>
      </c>
      <c r="L279" s="2">
        <f t="shared" si="16"/>
        <v>3946.5599999999977</v>
      </c>
      <c r="M279" s="4">
        <f t="shared" si="17"/>
        <v>1.0578482056872738E-2</v>
      </c>
      <c r="N279" s="2">
        <f t="shared" si="18"/>
        <v>4852.039999999979</v>
      </c>
      <c r="O279" s="6">
        <f t="shared" si="19"/>
        <v>1.0128694198581256</v>
      </c>
    </row>
    <row r="280" spans="1:15" x14ac:dyDescent="0.2">
      <c r="A280" t="s">
        <v>22</v>
      </c>
      <c r="B280" t="s">
        <v>23</v>
      </c>
      <c r="C280" t="s">
        <v>13</v>
      </c>
      <c r="D280" t="s">
        <v>24</v>
      </c>
      <c r="E280" t="s">
        <v>25</v>
      </c>
      <c r="F280" s="1">
        <v>45962</v>
      </c>
      <c r="G280" t="s">
        <v>18</v>
      </c>
      <c r="H280" s="2">
        <v>309912.03000000003</v>
      </c>
      <c r="I280" s="2">
        <v>317919.01</v>
      </c>
      <c r="J280" s="2">
        <v>306592.95</v>
      </c>
      <c r="K280" s="2">
        <v>317209.24</v>
      </c>
      <c r="L280" s="2">
        <f t="shared" si="16"/>
        <v>8006.9799999999814</v>
      </c>
      <c r="M280" s="4">
        <f t="shared" si="17"/>
        <v>2.5836299416966746E-2</v>
      </c>
      <c r="N280" s="2">
        <f t="shared" si="18"/>
        <v>-11326.059999999998</v>
      </c>
      <c r="O280" s="6">
        <f t="shared" si="19"/>
        <v>0.96437438579089685</v>
      </c>
    </row>
    <row r="281" spans="1:15" x14ac:dyDescent="0.2">
      <c r="A281" t="s">
        <v>22</v>
      </c>
      <c r="B281" t="s">
        <v>23</v>
      </c>
      <c r="C281" t="s">
        <v>13</v>
      </c>
      <c r="D281" t="s">
        <v>24</v>
      </c>
      <c r="E281" t="s">
        <v>25</v>
      </c>
      <c r="F281" s="1">
        <v>45962</v>
      </c>
      <c r="G281" t="s">
        <v>19</v>
      </c>
      <c r="H281" s="2">
        <v>227432.64</v>
      </c>
      <c r="I281" s="2">
        <v>220169.42</v>
      </c>
      <c r="J281" s="2">
        <v>226816.36</v>
      </c>
      <c r="K281" s="2">
        <v>224081</v>
      </c>
      <c r="L281" s="2">
        <f t="shared" si="16"/>
        <v>-7263.2200000000012</v>
      </c>
      <c r="M281" s="4">
        <f t="shared" si="17"/>
        <v>-3.1935697532245157E-2</v>
      </c>
      <c r="N281" s="2">
        <f t="shared" si="18"/>
        <v>6646.9399999999732</v>
      </c>
      <c r="O281" s="6">
        <f t="shared" si="19"/>
        <v>1.0301901145036398</v>
      </c>
    </row>
    <row r="282" spans="1:15" x14ac:dyDescent="0.2">
      <c r="A282" t="s">
        <v>22</v>
      </c>
      <c r="B282" t="s">
        <v>23</v>
      </c>
      <c r="C282" t="s">
        <v>13</v>
      </c>
      <c r="D282" t="s">
        <v>24</v>
      </c>
      <c r="E282" t="s">
        <v>25</v>
      </c>
      <c r="F282" s="1">
        <v>45962</v>
      </c>
      <c r="G282" t="s">
        <v>20</v>
      </c>
      <c r="H282" s="2">
        <v>52580.33</v>
      </c>
      <c r="I282" s="2">
        <v>51500.62</v>
      </c>
      <c r="J282" s="2">
        <v>51796.19</v>
      </c>
      <c r="K282" s="2">
        <v>51918.35</v>
      </c>
      <c r="L282" s="2">
        <f t="shared" si="16"/>
        <v>-1079.7099999999991</v>
      </c>
      <c r="M282" s="4">
        <f t="shared" si="17"/>
        <v>-2.0534485044121996E-2</v>
      </c>
      <c r="N282" s="2">
        <f t="shared" si="18"/>
        <v>295.56999999999971</v>
      </c>
      <c r="O282" s="6">
        <f t="shared" si="19"/>
        <v>1.0057391542082406</v>
      </c>
    </row>
    <row r="283" spans="1:15" x14ac:dyDescent="0.2">
      <c r="A283" t="s">
        <v>22</v>
      </c>
      <c r="B283" t="s">
        <v>23</v>
      </c>
      <c r="C283" t="s">
        <v>13</v>
      </c>
      <c r="D283" t="s">
        <v>24</v>
      </c>
      <c r="E283" t="s">
        <v>25</v>
      </c>
      <c r="F283" s="1">
        <v>45962</v>
      </c>
      <c r="G283" t="s">
        <v>21</v>
      </c>
      <c r="H283" s="2">
        <v>79813.78</v>
      </c>
      <c r="I283" s="2">
        <v>80404.679999999993</v>
      </c>
      <c r="J283" s="2">
        <v>79135.14</v>
      </c>
      <c r="K283" s="2">
        <v>80858.929999999993</v>
      </c>
      <c r="L283" s="2">
        <f t="shared" si="16"/>
        <v>590.89999999999418</v>
      </c>
      <c r="M283" s="4">
        <f t="shared" si="17"/>
        <v>7.4034834586207314E-3</v>
      </c>
      <c r="N283" s="2">
        <f t="shared" si="18"/>
        <v>-1269.5399999999936</v>
      </c>
      <c r="O283" s="6">
        <f t="shared" si="19"/>
        <v>0.98421062057581732</v>
      </c>
    </row>
    <row r="284" spans="1:15" x14ac:dyDescent="0.2">
      <c r="A284" t="s">
        <v>22</v>
      </c>
      <c r="B284" t="s">
        <v>23</v>
      </c>
      <c r="C284" t="s">
        <v>13</v>
      </c>
      <c r="D284" t="s">
        <v>24</v>
      </c>
      <c r="E284" t="s">
        <v>25</v>
      </c>
      <c r="F284" s="1">
        <v>45992</v>
      </c>
      <c r="G284" t="s">
        <v>16</v>
      </c>
      <c r="H284" s="2">
        <v>482497.75</v>
      </c>
      <c r="I284" s="2">
        <v>553368.68999999994</v>
      </c>
      <c r="J284" s="2">
        <v>481354.63</v>
      </c>
      <c r="K284" s="2">
        <v>533951.04</v>
      </c>
      <c r="L284" s="2">
        <f t="shared" si="16"/>
        <v>70870.939999999944</v>
      </c>
      <c r="M284" s="4">
        <f t="shared" si="17"/>
        <v>0.14688346215085965</v>
      </c>
      <c r="N284" s="2">
        <f t="shared" si="18"/>
        <v>-72014.059999999939</v>
      </c>
      <c r="O284" s="6">
        <f t="shared" si="19"/>
        <v>0.86986242391126256</v>
      </c>
    </row>
    <row r="285" spans="1:15" x14ac:dyDescent="0.2">
      <c r="A285" t="s">
        <v>22</v>
      </c>
      <c r="B285" t="s">
        <v>23</v>
      </c>
      <c r="C285" t="s">
        <v>13</v>
      </c>
      <c r="D285" t="s">
        <v>24</v>
      </c>
      <c r="E285" t="s">
        <v>25</v>
      </c>
      <c r="F285" s="1">
        <v>45992</v>
      </c>
      <c r="G285" t="s">
        <v>17</v>
      </c>
      <c r="H285" s="2">
        <v>390304.35</v>
      </c>
      <c r="I285" s="2">
        <v>393502.59</v>
      </c>
      <c r="J285" s="2">
        <v>390349.62</v>
      </c>
      <c r="K285" s="2">
        <v>391225.93</v>
      </c>
      <c r="L285" s="2">
        <f t="shared" si="16"/>
        <v>3198.2400000000489</v>
      </c>
      <c r="M285" s="4">
        <f t="shared" si="17"/>
        <v>8.194220740814313E-3</v>
      </c>
      <c r="N285" s="2">
        <f t="shared" si="18"/>
        <v>-3152.9700000000303</v>
      </c>
      <c r="O285" s="6">
        <f t="shared" si="19"/>
        <v>0.99198742249701577</v>
      </c>
    </row>
    <row r="286" spans="1:15" x14ac:dyDescent="0.2">
      <c r="A286" t="s">
        <v>22</v>
      </c>
      <c r="B286" t="s">
        <v>23</v>
      </c>
      <c r="C286" t="s">
        <v>13</v>
      </c>
      <c r="D286" t="s">
        <v>24</v>
      </c>
      <c r="E286" t="s">
        <v>25</v>
      </c>
      <c r="F286" s="1">
        <v>45992</v>
      </c>
      <c r="G286" t="s">
        <v>18</v>
      </c>
      <c r="H286" s="2">
        <v>294837.65000000002</v>
      </c>
      <c r="I286" s="2">
        <v>291107.63</v>
      </c>
      <c r="J286" s="2">
        <v>301883.28000000003</v>
      </c>
      <c r="K286" s="2">
        <v>296749.39</v>
      </c>
      <c r="L286" s="2">
        <f t="shared" si="16"/>
        <v>-3730.0200000000186</v>
      </c>
      <c r="M286" s="4">
        <f t="shared" si="17"/>
        <v>-1.2651097985620283E-2</v>
      </c>
      <c r="N286" s="2">
        <f t="shared" si="18"/>
        <v>10775.650000000023</v>
      </c>
      <c r="O286" s="6">
        <f t="shared" si="19"/>
        <v>1.0370160342413561</v>
      </c>
    </row>
    <row r="287" spans="1:15" x14ac:dyDescent="0.2">
      <c r="A287" t="s">
        <v>22</v>
      </c>
      <c r="B287" t="s">
        <v>23</v>
      </c>
      <c r="C287" t="s">
        <v>13</v>
      </c>
      <c r="D287" t="s">
        <v>24</v>
      </c>
      <c r="E287" t="s">
        <v>25</v>
      </c>
      <c r="F287" s="1">
        <v>45992</v>
      </c>
      <c r="G287" t="s">
        <v>19</v>
      </c>
      <c r="H287" s="2">
        <v>226318.11</v>
      </c>
      <c r="I287" s="2">
        <v>231510.18</v>
      </c>
      <c r="J287" s="2">
        <v>221802.43</v>
      </c>
      <c r="K287" s="2">
        <v>232805.79</v>
      </c>
      <c r="L287" s="2">
        <f t="shared" si="16"/>
        <v>5192.070000000007</v>
      </c>
      <c r="M287" s="4">
        <f t="shared" si="17"/>
        <v>2.2941469421072877E-2</v>
      </c>
      <c r="N287" s="2">
        <f t="shared" si="18"/>
        <v>-9707.75</v>
      </c>
      <c r="O287" s="6">
        <f t="shared" si="19"/>
        <v>0.95806771866360263</v>
      </c>
    </row>
    <row r="288" spans="1:15" x14ac:dyDescent="0.2">
      <c r="A288" t="s">
        <v>22</v>
      </c>
      <c r="B288" t="s">
        <v>23</v>
      </c>
      <c r="C288" t="s">
        <v>13</v>
      </c>
      <c r="D288" t="s">
        <v>24</v>
      </c>
      <c r="E288" t="s">
        <v>25</v>
      </c>
      <c r="F288" s="1">
        <v>45992</v>
      </c>
      <c r="G288" t="s">
        <v>20</v>
      </c>
      <c r="H288" s="2">
        <v>54602.13</v>
      </c>
      <c r="I288" s="2">
        <v>52788.27</v>
      </c>
      <c r="J288" s="2">
        <v>56047.13</v>
      </c>
      <c r="K288" s="2">
        <v>54369.09</v>
      </c>
      <c r="L288" s="2">
        <f t="shared" si="16"/>
        <v>-1813.8600000000006</v>
      </c>
      <c r="M288" s="4">
        <f t="shared" si="17"/>
        <v>-3.3219583192084276E-2</v>
      </c>
      <c r="N288" s="2">
        <f t="shared" si="18"/>
        <v>3258.8600000000006</v>
      </c>
      <c r="O288" s="6">
        <f t="shared" si="19"/>
        <v>1.0617345482244445</v>
      </c>
    </row>
    <row r="289" spans="1:15" x14ac:dyDescent="0.2">
      <c r="A289" t="s">
        <v>22</v>
      </c>
      <c r="B289" t="s">
        <v>23</v>
      </c>
      <c r="C289" t="s">
        <v>13</v>
      </c>
      <c r="D289" t="s">
        <v>24</v>
      </c>
      <c r="E289" t="s">
        <v>25</v>
      </c>
      <c r="F289" s="1">
        <v>45992</v>
      </c>
      <c r="G289" t="s">
        <v>21</v>
      </c>
      <c r="H289" s="2">
        <v>83341.429999999993</v>
      </c>
      <c r="I289" s="2">
        <v>81536.320000000007</v>
      </c>
      <c r="J289" s="2">
        <v>85477.4</v>
      </c>
      <c r="K289" s="2">
        <v>83512.320000000007</v>
      </c>
      <c r="L289" s="2">
        <f t="shared" si="16"/>
        <v>-1805.109999999986</v>
      </c>
      <c r="M289" s="4">
        <f t="shared" si="17"/>
        <v>-2.1659215590613051E-2</v>
      </c>
      <c r="N289" s="2">
        <f t="shared" si="18"/>
        <v>3941.0799999999872</v>
      </c>
      <c r="O289" s="6">
        <f t="shared" si="19"/>
        <v>1.0483352694848134</v>
      </c>
    </row>
    <row r="290" spans="1:15" x14ac:dyDescent="0.2">
      <c r="A290" t="s">
        <v>26</v>
      </c>
      <c r="B290" t="s">
        <v>27</v>
      </c>
      <c r="C290" t="s">
        <v>28</v>
      </c>
      <c r="D290" t="s">
        <v>29</v>
      </c>
      <c r="E290" t="s">
        <v>30</v>
      </c>
      <c r="F290" s="1">
        <v>45292</v>
      </c>
      <c r="G290" t="s">
        <v>16</v>
      </c>
      <c r="H290" s="2">
        <v>568351.89</v>
      </c>
      <c r="I290" s="2">
        <v>582072.51</v>
      </c>
      <c r="J290" s="2">
        <v>560420.37</v>
      </c>
      <c r="K290" s="2">
        <v>579527.55000000005</v>
      </c>
      <c r="L290" s="2">
        <f t="shared" si="16"/>
        <v>13720.619999999995</v>
      </c>
      <c r="M290" s="4">
        <f t="shared" si="17"/>
        <v>2.4141065141878908E-2</v>
      </c>
      <c r="N290" s="2">
        <f t="shared" si="18"/>
        <v>-21652.140000000014</v>
      </c>
      <c r="O290" s="6">
        <f t="shared" si="19"/>
        <v>0.96280164476415486</v>
      </c>
    </row>
    <row r="291" spans="1:15" x14ac:dyDescent="0.2">
      <c r="A291" t="s">
        <v>26</v>
      </c>
      <c r="B291" t="s">
        <v>27</v>
      </c>
      <c r="C291" t="s">
        <v>28</v>
      </c>
      <c r="D291" t="s">
        <v>29</v>
      </c>
      <c r="E291" t="s">
        <v>30</v>
      </c>
      <c r="F291" s="1">
        <v>45292</v>
      </c>
      <c r="G291" t="s">
        <v>17</v>
      </c>
      <c r="H291" s="2">
        <v>438938.32</v>
      </c>
      <c r="I291" s="2">
        <v>439062.95</v>
      </c>
      <c r="J291" s="2">
        <v>443939.2</v>
      </c>
      <c r="K291" s="2">
        <v>444583.67</v>
      </c>
      <c r="L291" s="2">
        <f t="shared" si="16"/>
        <v>124.63000000000466</v>
      </c>
      <c r="M291" s="4">
        <f t="shared" si="17"/>
        <v>2.8393510960721011E-4</v>
      </c>
      <c r="N291" s="2">
        <f t="shared" si="18"/>
        <v>4876.25</v>
      </c>
      <c r="O291" s="6">
        <f t="shared" si="19"/>
        <v>1.0111060384393626</v>
      </c>
    </row>
    <row r="292" spans="1:15" x14ac:dyDescent="0.2">
      <c r="A292" t="s">
        <v>26</v>
      </c>
      <c r="B292" t="s">
        <v>27</v>
      </c>
      <c r="C292" t="s">
        <v>28</v>
      </c>
      <c r="D292" t="s">
        <v>29</v>
      </c>
      <c r="E292" t="s">
        <v>30</v>
      </c>
      <c r="F292" s="1">
        <v>45292</v>
      </c>
      <c r="G292" t="s">
        <v>18</v>
      </c>
      <c r="H292" s="2">
        <v>350064.62</v>
      </c>
      <c r="I292" s="2">
        <v>361112.19</v>
      </c>
      <c r="J292" s="2">
        <v>355070.6</v>
      </c>
      <c r="K292" s="2">
        <v>360866.14</v>
      </c>
      <c r="L292" s="2">
        <f t="shared" si="16"/>
        <v>11047.570000000007</v>
      </c>
      <c r="M292" s="4">
        <f t="shared" si="17"/>
        <v>3.1558659084142827E-2</v>
      </c>
      <c r="N292" s="2">
        <f t="shared" si="18"/>
        <v>-6041.5900000000256</v>
      </c>
      <c r="O292" s="6">
        <f t="shared" si="19"/>
        <v>0.98326949306252986</v>
      </c>
    </row>
    <row r="293" spans="1:15" x14ac:dyDescent="0.2">
      <c r="A293" t="s">
        <v>26</v>
      </c>
      <c r="B293" t="s">
        <v>27</v>
      </c>
      <c r="C293" t="s">
        <v>28</v>
      </c>
      <c r="D293" t="s">
        <v>29</v>
      </c>
      <c r="E293" t="s">
        <v>30</v>
      </c>
      <c r="F293" s="1">
        <v>45292</v>
      </c>
      <c r="G293" t="s">
        <v>19</v>
      </c>
      <c r="H293" s="2">
        <v>242654.28</v>
      </c>
      <c r="I293" s="2">
        <v>250377.88</v>
      </c>
      <c r="J293" s="2">
        <v>237170.02</v>
      </c>
      <c r="K293" s="2">
        <v>247843.9</v>
      </c>
      <c r="L293" s="2">
        <f t="shared" si="16"/>
        <v>7723.6000000000058</v>
      </c>
      <c r="M293" s="4">
        <f t="shared" si="17"/>
        <v>3.1829646689108496E-2</v>
      </c>
      <c r="N293" s="2">
        <f t="shared" si="18"/>
        <v>-13207.860000000015</v>
      </c>
      <c r="O293" s="6">
        <f t="shared" si="19"/>
        <v>0.94724829525675347</v>
      </c>
    </row>
    <row r="294" spans="1:15" x14ac:dyDescent="0.2">
      <c r="A294" t="s">
        <v>26</v>
      </c>
      <c r="B294" t="s">
        <v>27</v>
      </c>
      <c r="C294" t="s">
        <v>28</v>
      </c>
      <c r="D294" t="s">
        <v>29</v>
      </c>
      <c r="E294" t="s">
        <v>30</v>
      </c>
      <c r="F294" s="1">
        <v>45292</v>
      </c>
      <c r="G294" t="s">
        <v>20</v>
      </c>
      <c r="H294" s="2">
        <v>61163.88</v>
      </c>
      <c r="I294" s="2">
        <v>61678.73</v>
      </c>
      <c r="J294" s="2">
        <v>60145.440000000002</v>
      </c>
      <c r="K294" s="2">
        <v>61655.01</v>
      </c>
      <c r="L294" s="2">
        <f t="shared" si="16"/>
        <v>514.85000000000582</v>
      </c>
      <c r="M294" s="4">
        <f t="shared" si="17"/>
        <v>8.4175497041719047E-3</v>
      </c>
      <c r="N294" s="2">
        <f t="shared" si="18"/>
        <v>-1533.2900000000009</v>
      </c>
      <c r="O294" s="6">
        <f t="shared" si="19"/>
        <v>0.97514070085424909</v>
      </c>
    </row>
    <row r="295" spans="1:15" x14ac:dyDescent="0.2">
      <c r="A295" t="s">
        <v>26</v>
      </c>
      <c r="B295" t="s">
        <v>27</v>
      </c>
      <c r="C295" t="s">
        <v>28</v>
      </c>
      <c r="D295" t="s">
        <v>29</v>
      </c>
      <c r="E295" t="s">
        <v>30</v>
      </c>
      <c r="F295" s="1">
        <v>45292</v>
      </c>
      <c r="G295" t="s">
        <v>21</v>
      </c>
      <c r="H295" s="2">
        <v>93900.93</v>
      </c>
      <c r="I295" s="2">
        <v>90825.87</v>
      </c>
      <c r="J295" s="2">
        <v>91864.2</v>
      </c>
      <c r="K295" s="2">
        <v>91598.18</v>
      </c>
      <c r="L295" s="2">
        <f t="shared" si="16"/>
        <v>-3075.0599999999977</v>
      </c>
      <c r="M295" s="4">
        <f t="shared" si="17"/>
        <v>-3.274791847109499E-2</v>
      </c>
      <c r="N295" s="2">
        <f t="shared" si="18"/>
        <v>1038.3300000000017</v>
      </c>
      <c r="O295" s="6">
        <f t="shared" si="19"/>
        <v>1.0114320952829849</v>
      </c>
    </row>
    <row r="296" spans="1:15" x14ac:dyDescent="0.2">
      <c r="A296" t="s">
        <v>26</v>
      </c>
      <c r="B296" t="s">
        <v>27</v>
      </c>
      <c r="C296" t="s">
        <v>28</v>
      </c>
      <c r="D296" t="s">
        <v>29</v>
      </c>
      <c r="E296" t="s">
        <v>30</v>
      </c>
      <c r="F296" s="1">
        <v>45323</v>
      </c>
      <c r="G296" t="s">
        <v>16</v>
      </c>
      <c r="H296" s="2">
        <v>576381.12</v>
      </c>
      <c r="I296" s="2">
        <v>591077.27</v>
      </c>
      <c r="J296" s="2">
        <v>562050.81999999995</v>
      </c>
      <c r="K296" s="2">
        <v>594977.21</v>
      </c>
      <c r="L296" s="2">
        <f t="shared" si="16"/>
        <v>14696.150000000023</v>
      </c>
      <c r="M296" s="4">
        <f t="shared" si="17"/>
        <v>2.5497278606211152E-2</v>
      </c>
      <c r="N296" s="2">
        <f t="shared" si="18"/>
        <v>-29026.45000000007</v>
      </c>
      <c r="O296" s="6">
        <f t="shared" si="19"/>
        <v>0.95089229196717362</v>
      </c>
    </row>
    <row r="297" spans="1:15" x14ac:dyDescent="0.2">
      <c r="A297" t="s">
        <v>26</v>
      </c>
      <c r="B297" t="s">
        <v>27</v>
      </c>
      <c r="C297" t="s">
        <v>28</v>
      </c>
      <c r="D297" t="s">
        <v>29</v>
      </c>
      <c r="E297" t="s">
        <v>30</v>
      </c>
      <c r="F297" s="1">
        <v>45323</v>
      </c>
      <c r="G297" t="s">
        <v>17</v>
      </c>
      <c r="H297" s="2">
        <v>452819.88</v>
      </c>
      <c r="I297" s="2">
        <v>459302.24</v>
      </c>
      <c r="J297" s="2">
        <v>455571.25</v>
      </c>
      <c r="K297" s="2">
        <v>463124.76</v>
      </c>
      <c r="L297" s="2">
        <f t="shared" si="16"/>
        <v>6482.359999999986</v>
      </c>
      <c r="M297" s="4">
        <f t="shared" si="17"/>
        <v>1.4315537559879186E-2</v>
      </c>
      <c r="N297" s="2">
        <f t="shared" si="18"/>
        <v>-3730.9899999999907</v>
      </c>
      <c r="O297" s="6">
        <f t="shared" si="19"/>
        <v>0.99187683038515118</v>
      </c>
    </row>
    <row r="298" spans="1:15" x14ac:dyDescent="0.2">
      <c r="A298" t="s">
        <v>26</v>
      </c>
      <c r="B298" t="s">
        <v>27</v>
      </c>
      <c r="C298" t="s">
        <v>28</v>
      </c>
      <c r="D298" t="s">
        <v>29</v>
      </c>
      <c r="E298" t="s">
        <v>30</v>
      </c>
      <c r="F298" s="1">
        <v>45323</v>
      </c>
      <c r="G298" t="s">
        <v>18</v>
      </c>
      <c r="H298" s="2">
        <v>342384.9</v>
      </c>
      <c r="I298" s="2">
        <v>337017.81</v>
      </c>
      <c r="J298" s="2">
        <v>335806.27</v>
      </c>
      <c r="K298" s="2">
        <v>343142.43</v>
      </c>
      <c r="L298" s="2">
        <f t="shared" si="16"/>
        <v>-5367.0900000000256</v>
      </c>
      <c r="M298" s="4">
        <f t="shared" si="17"/>
        <v>-1.5675603684625183E-2</v>
      </c>
      <c r="N298" s="2">
        <f t="shared" si="18"/>
        <v>-1211.539999999979</v>
      </c>
      <c r="O298" s="6">
        <f t="shared" si="19"/>
        <v>0.99640511580085345</v>
      </c>
    </row>
    <row r="299" spans="1:15" x14ac:dyDescent="0.2">
      <c r="A299" t="s">
        <v>26</v>
      </c>
      <c r="B299" t="s">
        <v>27</v>
      </c>
      <c r="C299" t="s">
        <v>28</v>
      </c>
      <c r="D299" t="s">
        <v>29</v>
      </c>
      <c r="E299" t="s">
        <v>30</v>
      </c>
      <c r="F299" s="1">
        <v>45323</v>
      </c>
      <c r="G299" t="s">
        <v>19</v>
      </c>
      <c r="H299" s="2">
        <v>245342.37</v>
      </c>
      <c r="I299" s="2">
        <v>236908.01</v>
      </c>
      <c r="J299" s="2">
        <v>242752.96</v>
      </c>
      <c r="K299" s="2">
        <v>237296.46</v>
      </c>
      <c r="L299" s="2">
        <f t="shared" si="16"/>
        <v>-8434.359999999986</v>
      </c>
      <c r="M299" s="4">
        <f t="shared" si="17"/>
        <v>-3.4377918498137872E-2</v>
      </c>
      <c r="N299" s="2">
        <f t="shared" si="18"/>
        <v>5844.9499999999825</v>
      </c>
      <c r="O299" s="6">
        <f t="shared" si="19"/>
        <v>1.0246718124895819</v>
      </c>
    </row>
    <row r="300" spans="1:15" x14ac:dyDescent="0.2">
      <c r="A300" t="s">
        <v>26</v>
      </c>
      <c r="B300" t="s">
        <v>27</v>
      </c>
      <c r="C300" t="s">
        <v>28</v>
      </c>
      <c r="D300" t="s">
        <v>29</v>
      </c>
      <c r="E300" t="s">
        <v>30</v>
      </c>
      <c r="F300" s="1">
        <v>45323</v>
      </c>
      <c r="G300" t="s">
        <v>20</v>
      </c>
      <c r="H300" s="2">
        <v>59308.94</v>
      </c>
      <c r="I300" s="2">
        <v>59892.27</v>
      </c>
      <c r="J300" s="2">
        <v>60133.18</v>
      </c>
      <c r="K300" s="2">
        <v>60632.58</v>
      </c>
      <c r="L300" s="2">
        <f t="shared" si="16"/>
        <v>583.32999999999447</v>
      </c>
      <c r="M300" s="4">
        <f t="shared" si="17"/>
        <v>9.8354480791596425E-3</v>
      </c>
      <c r="N300" s="2">
        <f t="shared" si="18"/>
        <v>240.91000000000349</v>
      </c>
      <c r="O300" s="6">
        <f t="shared" si="19"/>
        <v>1.0040223888658755</v>
      </c>
    </row>
    <row r="301" spans="1:15" x14ac:dyDescent="0.2">
      <c r="A301" t="s">
        <v>26</v>
      </c>
      <c r="B301" t="s">
        <v>27</v>
      </c>
      <c r="C301" t="s">
        <v>28</v>
      </c>
      <c r="D301" t="s">
        <v>29</v>
      </c>
      <c r="E301" t="s">
        <v>30</v>
      </c>
      <c r="F301" s="1">
        <v>45323</v>
      </c>
      <c r="G301" t="s">
        <v>21</v>
      </c>
      <c r="H301" s="2">
        <v>89472.67</v>
      </c>
      <c r="I301" s="2">
        <v>91329.97</v>
      </c>
      <c r="J301" s="2">
        <v>92147.1</v>
      </c>
      <c r="K301" s="2">
        <v>91351.52</v>
      </c>
      <c r="L301" s="2">
        <f t="shared" si="16"/>
        <v>1857.3000000000029</v>
      </c>
      <c r="M301" s="4">
        <f t="shared" si="17"/>
        <v>2.075829412489873E-2</v>
      </c>
      <c r="N301" s="2">
        <f t="shared" si="18"/>
        <v>817.13000000000466</v>
      </c>
      <c r="O301" s="6">
        <f t="shared" si="19"/>
        <v>1.008947008304065</v>
      </c>
    </row>
    <row r="302" spans="1:15" x14ac:dyDescent="0.2">
      <c r="A302" t="s">
        <v>26</v>
      </c>
      <c r="B302" t="s">
        <v>27</v>
      </c>
      <c r="C302" t="s">
        <v>28</v>
      </c>
      <c r="D302" t="s">
        <v>29</v>
      </c>
      <c r="E302" t="s">
        <v>30</v>
      </c>
      <c r="F302" s="1">
        <v>45352</v>
      </c>
      <c r="G302" t="s">
        <v>16</v>
      </c>
      <c r="H302" s="2">
        <v>545486.32999999996</v>
      </c>
      <c r="I302" s="2">
        <v>558978.13</v>
      </c>
      <c r="J302" s="2">
        <v>546996.34</v>
      </c>
      <c r="K302" s="2">
        <v>549881.81000000006</v>
      </c>
      <c r="L302" s="2">
        <f t="shared" si="16"/>
        <v>13491.800000000047</v>
      </c>
      <c r="M302" s="4">
        <f t="shared" si="17"/>
        <v>2.4733525402918982E-2</v>
      </c>
      <c r="N302" s="2">
        <f t="shared" si="18"/>
        <v>-11981.790000000037</v>
      </c>
      <c r="O302" s="6">
        <f t="shared" si="19"/>
        <v>0.97856483222340018</v>
      </c>
    </row>
    <row r="303" spans="1:15" x14ac:dyDescent="0.2">
      <c r="A303" t="s">
        <v>26</v>
      </c>
      <c r="B303" t="s">
        <v>27</v>
      </c>
      <c r="C303" t="s">
        <v>28</v>
      </c>
      <c r="D303" t="s">
        <v>29</v>
      </c>
      <c r="E303" t="s">
        <v>30</v>
      </c>
      <c r="F303" s="1">
        <v>45352</v>
      </c>
      <c r="G303" t="s">
        <v>17</v>
      </c>
      <c r="H303" s="2">
        <v>440455.33</v>
      </c>
      <c r="I303" s="2">
        <v>455400.46</v>
      </c>
      <c r="J303" s="2">
        <v>431679.58</v>
      </c>
      <c r="K303" s="2">
        <v>449242.93</v>
      </c>
      <c r="L303" s="2">
        <f t="shared" si="16"/>
        <v>14945.130000000005</v>
      </c>
      <c r="M303" s="4">
        <f t="shared" si="17"/>
        <v>3.3931091264124344E-2</v>
      </c>
      <c r="N303" s="2">
        <f t="shared" si="18"/>
        <v>-23720.880000000005</v>
      </c>
      <c r="O303" s="6">
        <f t="shared" si="19"/>
        <v>0.94791204207391444</v>
      </c>
    </row>
    <row r="304" spans="1:15" x14ac:dyDescent="0.2">
      <c r="A304" t="s">
        <v>26</v>
      </c>
      <c r="B304" t="s">
        <v>27</v>
      </c>
      <c r="C304" t="s">
        <v>28</v>
      </c>
      <c r="D304" t="s">
        <v>29</v>
      </c>
      <c r="E304" t="s">
        <v>30</v>
      </c>
      <c r="F304" s="1">
        <v>45352</v>
      </c>
      <c r="G304" t="s">
        <v>18</v>
      </c>
      <c r="H304" s="2">
        <v>356469.37</v>
      </c>
      <c r="I304" s="2">
        <v>355930.48</v>
      </c>
      <c r="J304" s="2">
        <v>351801.04</v>
      </c>
      <c r="K304" s="2">
        <v>356511.63</v>
      </c>
      <c r="L304" s="2">
        <f t="shared" si="16"/>
        <v>-538.89000000001397</v>
      </c>
      <c r="M304" s="4">
        <f t="shared" si="17"/>
        <v>-1.5117427901309276E-3</v>
      </c>
      <c r="N304" s="2">
        <f t="shared" si="18"/>
        <v>-4129.4400000000023</v>
      </c>
      <c r="O304" s="6">
        <f t="shared" si="19"/>
        <v>0.98839818382511102</v>
      </c>
    </row>
    <row r="305" spans="1:15" x14ac:dyDescent="0.2">
      <c r="A305" t="s">
        <v>26</v>
      </c>
      <c r="B305" t="s">
        <v>27</v>
      </c>
      <c r="C305" t="s">
        <v>28</v>
      </c>
      <c r="D305" t="s">
        <v>29</v>
      </c>
      <c r="E305" t="s">
        <v>30</v>
      </c>
      <c r="F305" s="1">
        <v>45352</v>
      </c>
      <c r="G305" t="s">
        <v>19</v>
      </c>
      <c r="H305" s="2">
        <v>248585.14</v>
      </c>
      <c r="I305" s="2">
        <v>248899.82</v>
      </c>
      <c r="J305" s="2">
        <v>244457.53</v>
      </c>
      <c r="K305" s="2">
        <v>252988.73</v>
      </c>
      <c r="L305" s="2">
        <f t="shared" si="16"/>
        <v>314.67999999999302</v>
      </c>
      <c r="M305" s="4">
        <f t="shared" si="17"/>
        <v>1.2658841956522139E-3</v>
      </c>
      <c r="N305" s="2">
        <f t="shared" si="18"/>
        <v>-4442.2900000000081</v>
      </c>
      <c r="O305" s="6">
        <f t="shared" si="19"/>
        <v>0.98215229725758735</v>
      </c>
    </row>
    <row r="306" spans="1:15" x14ac:dyDescent="0.2">
      <c r="A306" t="s">
        <v>26</v>
      </c>
      <c r="B306" t="s">
        <v>27</v>
      </c>
      <c r="C306" t="s">
        <v>28</v>
      </c>
      <c r="D306" t="s">
        <v>29</v>
      </c>
      <c r="E306" t="s">
        <v>30</v>
      </c>
      <c r="F306" s="1">
        <v>45352</v>
      </c>
      <c r="G306" t="s">
        <v>20</v>
      </c>
      <c r="H306" s="2">
        <v>58332.87</v>
      </c>
      <c r="I306" s="2">
        <v>56912.14</v>
      </c>
      <c r="J306" s="2">
        <v>57848.6</v>
      </c>
      <c r="K306" s="2">
        <v>57516.79</v>
      </c>
      <c r="L306" s="2">
        <f t="shared" si="16"/>
        <v>-1420.7300000000032</v>
      </c>
      <c r="M306" s="4">
        <f t="shared" si="17"/>
        <v>-2.435556488134397E-2</v>
      </c>
      <c r="N306" s="2">
        <f t="shared" si="18"/>
        <v>936.45999999999913</v>
      </c>
      <c r="O306" s="6">
        <f t="shared" si="19"/>
        <v>1.0164544858091789</v>
      </c>
    </row>
    <row r="307" spans="1:15" x14ac:dyDescent="0.2">
      <c r="A307" t="s">
        <v>26</v>
      </c>
      <c r="B307" t="s">
        <v>27</v>
      </c>
      <c r="C307" t="s">
        <v>28</v>
      </c>
      <c r="D307" t="s">
        <v>29</v>
      </c>
      <c r="E307" t="s">
        <v>30</v>
      </c>
      <c r="F307" s="1">
        <v>45352</v>
      </c>
      <c r="G307" t="s">
        <v>21</v>
      </c>
      <c r="H307" s="2">
        <v>90671.49</v>
      </c>
      <c r="I307" s="2">
        <v>90791.69</v>
      </c>
      <c r="J307" s="2">
        <v>89235.86</v>
      </c>
      <c r="K307" s="2">
        <v>92243.55</v>
      </c>
      <c r="L307" s="2">
        <f t="shared" si="16"/>
        <v>120.19999999999709</v>
      </c>
      <c r="M307" s="4">
        <f t="shared" si="17"/>
        <v>1.3256647707013205E-3</v>
      </c>
      <c r="N307" s="2">
        <f t="shared" si="18"/>
        <v>-1555.8300000000017</v>
      </c>
      <c r="O307" s="6">
        <f t="shared" si="19"/>
        <v>0.98286374006255417</v>
      </c>
    </row>
    <row r="308" spans="1:15" x14ac:dyDescent="0.2">
      <c r="A308" t="s">
        <v>26</v>
      </c>
      <c r="B308" t="s">
        <v>27</v>
      </c>
      <c r="C308" t="s">
        <v>28</v>
      </c>
      <c r="D308" t="s">
        <v>29</v>
      </c>
      <c r="E308" t="s">
        <v>30</v>
      </c>
      <c r="F308" s="1">
        <v>45383</v>
      </c>
      <c r="G308" t="s">
        <v>16</v>
      </c>
      <c r="H308" s="2">
        <v>572609.06000000006</v>
      </c>
      <c r="I308" s="2">
        <v>570619.92000000004</v>
      </c>
      <c r="J308" s="2">
        <v>562260.19999999995</v>
      </c>
      <c r="K308" s="2">
        <v>581415.63</v>
      </c>
      <c r="L308" s="2">
        <f t="shared" si="16"/>
        <v>-1989.140000000014</v>
      </c>
      <c r="M308" s="4">
        <f t="shared" si="17"/>
        <v>-3.4738185944875092E-3</v>
      </c>
      <c r="N308" s="2">
        <f t="shared" si="18"/>
        <v>-8359.7200000000885</v>
      </c>
      <c r="O308" s="6">
        <f t="shared" si="19"/>
        <v>0.98534975785633261</v>
      </c>
    </row>
    <row r="309" spans="1:15" x14ac:dyDescent="0.2">
      <c r="A309" t="s">
        <v>26</v>
      </c>
      <c r="B309" t="s">
        <v>27</v>
      </c>
      <c r="C309" t="s">
        <v>28</v>
      </c>
      <c r="D309" t="s">
        <v>29</v>
      </c>
      <c r="E309" t="s">
        <v>30</v>
      </c>
      <c r="F309" s="1">
        <v>45383</v>
      </c>
      <c r="G309" t="s">
        <v>17</v>
      </c>
      <c r="H309" s="2">
        <v>445387.46</v>
      </c>
      <c r="I309" s="2">
        <v>451730.25</v>
      </c>
      <c r="J309" s="2">
        <v>446534.21</v>
      </c>
      <c r="K309" s="2">
        <v>453900.83</v>
      </c>
      <c r="L309" s="2">
        <f t="shared" si="16"/>
        <v>6342.789999999979</v>
      </c>
      <c r="M309" s="4">
        <f t="shared" si="17"/>
        <v>1.4241061030321731E-2</v>
      </c>
      <c r="N309" s="2">
        <f t="shared" si="18"/>
        <v>-5196.039999999979</v>
      </c>
      <c r="O309" s="6">
        <f t="shared" si="19"/>
        <v>0.98849747166588919</v>
      </c>
    </row>
    <row r="310" spans="1:15" x14ac:dyDescent="0.2">
      <c r="A310" t="s">
        <v>26</v>
      </c>
      <c r="B310" t="s">
        <v>27</v>
      </c>
      <c r="C310" t="s">
        <v>28</v>
      </c>
      <c r="D310" t="s">
        <v>29</v>
      </c>
      <c r="E310" t="s">
        <v>30</v>
      </c>
      <c r="F310" s="1">
        <v>45383</v>
      </c>
      <c r="G310" t="s">
        <v>18</v>
      </c>
      <c r="H310" s="2">
        <v>356783.89</v>
      </c>
      <c r="I310" s="2">
        <v>364955.43</v>
      </c>
      <c r="J310" s="2">
        <v>364043.04</v>
      </c>
      <c r="K310" s="2">
        <v>365443.13</v>
      </c>
      <c r="L310" s="2">
        <f t="shared" si="16"/>
        <v>8171.539999999979</v>
      </c>
      <c r="M310" s="4">
        <f t="shared" si="17"/>
        <v>2.2903332322543987E-2</v>
      </c>
      <c r="N310" s="2">
        <f t="shared" si="18"/>
        <v>-912.39000000001397</v>
      </c>
      <c r="O310" s="6">
        <f t="shared" si="19"/>
        <v>0.99749999609541362</v>
      </c>
    </row>
    <row r="311" spans="1:15" x14ac:dyDescent="0.2">
      <c r="A311" t="s">
        <v>26</v>
      </c>
      <c r="B311" t="s">
        <v>27</v>
      </c>
      <c r="C311" t="s">
        <v>28</v>
      </c>
      <c r="D311" t="s">
        <v>29</v>
      </c>
      <c r="E311" t="s">
        <v>30</v>
      </c>
      <c r="F311" s="1">
        <v>45383</v>
      </c>
      <c r="G311" t="s">
        <v>19</v>
      </c>
      <c r="H311" s="2">
        <v>263981.31</v>
      </c>
      <c r="I311" s="2">
        <v>257421.08</v>
      </c>
      <c r="J311" s="2">
        <v>261608.59</v>
      </c>
      <c r="K311" s="2">
        <v>264243.84999999998</v>
      </c>
      <c r="L311" s="2">
        <f t="shared" si="16"/>
        <v>-6560.2300000000105</v>
      </c>
      <c r="M311" s="4">
        <f t="shared" si="17"/>
        <v>-2.4851115406617275E-2</v>
      </c>
      <c r="N311" s="2">
        <f t="shared" si="18"/>
        <v>4187.5100000000093</v>
      </c>
      <c r="O311" s="6">
        <f t="shared" si="19"/>
        <v>1.0162671604050453</v>
      </c>
    </row>
    <row r="312" spans="1:15" x14ac:dyDescent="0.2">
      <c r="A312" t="s">
        <v>26</v>
      </c>
      <c r="B312" t="s">
        <v>27</v>
      </c>
      <c r="C312" t="s">
        <v>28</v>
      </c>
      <c r="D312" t="s">
        <v>29</v>
      </c>
      <c r="E312" t="s">
        <v>30</v>
      </c>
      <c r="F312" s="1">
        <v>45383</v>
      </c>
      <c r="G312" t="s">
        <v>20</v>
      </c>
      <c r="H312" s="2">
        <v>62560.38</v>
      </c>
      <c r="I312" s="2">
        <v>63569.120000000003</v>
      </c>
      <c r="J312" s="2">
        <v>63146.77</v>
      </c>
      <c r="K312" s="2">
        <v>63312.09</v>
      </c>
      <c r="L312" s="2">
        <f t="shared" si="16"/>
        <v>1008.7400000000052</v>
      </c>
      <c r="M312" s="4">
        <f t="shared" si="17"/>
        <v>1.6124262672317612E-2</v>
      </c>
      <c r="N312" s="2">
        <f t="shared" si="18"/>
        <v>-422.35000000000582</v>
      </c>
      <c r="O312" s="6">
        <f t="shared" si="19"/>
        <v>0.99335605086243117</v>
      </c>
    </row>
    <row r="313" spans="1:15" x14ac:dyDescent="0.2">
      <c r="A313" t="s">
        <v>26</v>
      </c>
      <c r="B313" t="s">
        <v>27</v>
      </c>
      <c r="C313" t="s">
        <v>28</v>
      </c>
      <c r="D313" t="s">
        <v>29</v>
      </c>
      <c r="E313" t="s">
        <v>30</v>
      </c>
      <c r="F313" s="1">
        <v>45383</v>
      </c>
      <c r="G313" t="s">
        <v>21</v>
      </c>
      <c r="H313" s="2">
        <v>94131.12</v>
      </c>
      <c r="I313" s="2">
        <v>97012.34</v>
      </c>
      <c r="J313" s="2">
        <v>94332.37</v>
      </c>
      <c r="K313" s="2">
        <v>97190.5</v>
      </c>
      <c r="L313" s="2">
        <f t="shared" si="16"/>
        <v>2881.2200000000012</v>
      </c>
      <c r="M313" s="4">
        <f t="shared" si="17"/>
        <v>3.0608580881646807E-2</v>
      </c>
      <c r="N313" s="2">
        <f t="shared" si="18"/>
        <v>-2679.9700000000012</v>
      </c>
      <c r="O313" s="6">
        <f t="shared" si="19"/>
        <v>0.97237495766002546</v>
      </c>
    </row>
    <row r="314" spans="1:15" x14ac:dyDescent="0.2">
      <c r="A314" t="s">
        <v>26</v>
      </c>
      <c r="B314" t="s">
        <v>27</v>
      </c>
      <c r="C314" t="s">
        <v>28</v>
      </c>
      <c r="D314" t="s">
        <v>29</v>
      </c>
      <c r="E314" t="s">
        <v>30</v>
      </c>
      <c r="F314" s="1">
        <v>45413</v>
      </c>
      <c r="G314" t="s">
        <v>16</v>
      </c>
      <c r="H314" s="2">
        <v>565139</v>
      </c>
      <c r="I314" s="2">
        <v>579445.27</v>
      </c>
      <c r="J314" s="2">
        <v>564354.18999999994</v>
      </c>
      <c r="K314" s="2">
        <v>577945.75</v>
      </c>
      <c r="L314" s="2">
        <f t="shared" si="16"/>
        <v>14306.270000000019</v>
      </c>
      <c r="M314" s="4">
        <f t="shared" si="17"/>
        <v>2.5314604017772652E-2</v>
      </c>
      <c r="N314" s="2">
        <f t="shared" si="18"/>
        <v>-15091.080000000075</v>
      </c>
      <c r="O314" s="6">
        <f t="shared" si="19"/>
        <v>0.97395598724966714</v>
      </c>
    </row>
    <row r="315" spans="1:15" x14ac:dyDescent="0.2">
      <c r="A315" t="s">
        <v>26</v>
      </c>
      <c r="B315" t="s">
        <v>27</v>
      </c>
      <c r="C315" t="s">
        <v>28</v>
      </c>
      <c r="D315" t="s">
        <v>29</v>
      </c>
      <c r="E315" t="s">
        <v>30</v>
      </c>
      <c r="F315" s="1">
        <v>45413</v>
      </c>
      <c r="G315" t="s">
        <v>17</v>
      </c>
      <c r="H315" s="2">
        <v>450761.23</v>
      </c>
      <c r="I315" s="2">
        <v>435206.5</v>
      </c>
      <c r="J315" s="2">
        <v>449715.65</v>
      </c>
      <c r="K315" s="2">
        <v>438061.62</v>
      </c>
      <c r="L315" s="2">
        <f t="shared" si="16"/>
        <v>-15554.729999999981</v>
      </c>
      <c r="M315" s="4">
        <f t="shared" si="17"/>
        <v>-3.4507692686879886E-2</v>
      </c>
      <c r="N315" s="2">
        <f t="shared" si="18"/>
        <v>14509.150000000023</v>
      </c>
      <c r="O315" s="6">
        <f t="shared" si="19"/>
        <v>1.0333385415888781</v>
      </c>
    </row>
    <row r="316" spans="1:15" x14ac:dyDescent="0.2">
      <c r="A316" t="s">
        <v>26</v>
      </c>
      <c r="B316" t="s">
        <v>27</v>
      </c>
      <c r="C316" t="s">
        <v>28</v>
      </c>
      <c r="D316" t="s">
        <v>29</v>
      </c>
      <c r="E316" t="s">
        <v>30</v>
      </c>
      <c r="F316" s="1">
        <v>45413</v>
      </c>
      <c r="G316" t="s">
        <v>18</v>
      </c>
      <c r="H316" s="2">
        <v>362363.54</v>
      </c>
      <c r="I316" s="2">
        <v>371636.47999999998</v>
      </c>
      <c r="J316" s="2">
        <v>358564.48</v>
      </c>
      <c r="K316" s="2">
        <v>367356.47</v>
      </c>
      <c r="L316" s="2">
        <f t="shared" si="16"/>
        <v>9272.9400000000023</v>
      </c>
      <c r="M316" s="4">
        <f t="shared" si="17"/>
        <v>2.559015733205389E-2</v>
      </c>
      <c r="N316" s="2">
        <f t="shared" si="18"/>
        <v>-13072</v>
      </c>
      <c r="O316" s="6">
        <f t="shared" si="19"/>
        <v>0.96482584271597882</v>
      </c>
    </row>
    <row r="317" spans="1:15" x14ac:dyDescent="0.2">
      <c r="A317" t="s">
        <v>26</v>
      </c>
      <c r="B317" t="s">
        <v>27</v>
      </c>
      <c r="C317" t="s">
        <v>28</v>
      </c>
      <c r="D317" t="s">
        <v>29</v>
      </c>
      <c r="E317" t="s">
        <v>30</v>
      </c>
      <c r="F317" s="1">
        <v>45413</v>
      </c>
      <c r="G317" t="s">
        <v>19</v>
      </c>
      <c r="H317" s="2">
        <v>248847.26</v>
      </c>
      <c r="I317" s="2">
        <v>253287.27</v>
      </c>
      <c r="J317" s="2">
        <v>253080.3</v>
      </c>
      <c r="K317" s="2">
        <v>255421.52</v>
      </c>
      <c r="L317" s="2">
        <f t="shared" si="16"/>
        <v>4440.0099999999802</v>
      </c>
      <c r="M317" s="4">
        <f t="shared" si="17"/>
        <v>1.7842310178540766E-2</v>
      </c>
      <c r="N317" s="2">
        <f t="shared" si="18"/>
        <v>-206.97000000000116</v>
      </c>
      <c r="O317" s="6">
        <f t="shared" si="19"/>
        <v>0.99918286457902128</v>
      </c>
    </row>
    <row r="318" spans="1:15" x14ac:dyDescent="0.2">
      <c r="A318" t="s">
        <v>26</v>
      </c>
      <c r="B318" t="s">
        <v>27</v>
      </c>
      <c r="C318" t="s">
        <v>28</v>
      </c>
      <c r="D318" t="s">
        <v>29</v>
      </c>
      <c r="E318" t="s">
        <v>30</v>
      </c>
      <c r="F318" s="1">
        <v>45413</v>
      </c>
      <c r="G318" t="s">
        <v>20</v>
      </c>
      <c r="H318" s="2">
        <v>61870.5</v>
      </c>
      <c r="I318" s="2">
        <v>59916.33</v>
      </c>
      <c r="J318" s="2">
        <v>63664.37</v>
      </c>
      <c r="K318" s="2">
        <v>61131.56</v>
      </c>
      <c r="L318" s="2">
        <f t="shared" si="16"/>
        <v>-1954.1699999999983</v>
      </c>
      <c r="M318" s="4">
        <f t="shared" si="17"/>
        <v>-3.1584842534002441E-2</v>
      </c>
      <c r="N318" s="2">
        <f t="shared" si="18"/>
        <v>3748.0400000000009</v>
      </c>
      <c r="O318" s="6">
        <f t="shared" si="19"/>
        <v>1.0625545656751674</v>
      </c>
    </row>
    <row r="319" spans="1:15" x14ac:dyDescent="0.2">
      <c r="A319" t="s">
        <v>26</v>
      </c>
      <c r="B319" t="s">
        <v>27</v>
      </c>
      <c r="C319" t="s">
        <v>28</v>
      </c>
      <c r="D319" t="s">
        <v>29</v>
      </c>
      <c r="E319" t="s">
        <v>30</v>
      </c>
      <c r="F319" s="1">
        <v>45413</v>
      </c>
      <c r="G319" t="s">
        <v>21</v>
      </c>
      <c r="H319" s="2">
        <v>91715.36</v>
      </c>
      <c r="I319" s="2">
        <v>93347.89</v>
      </c>
      <c r="J319" s="2">
        <v>93604.12</v>
      </c>
      <c r="K319" s="2">
        <v>92998.03</v>
      </c>
      <c r="L319" s="2">
        <f t="shared" si="16"/>
        <v>1632.5299999999988</v>
      </c>
      <c r="M319" s="4">
        <f t="shared" si="17"/>
        <v>1.7799962841556733E-2</v>
      </c>
      <c r="N319" s="2">
        <f t="shared" si="18"/>
        <v>256.22999999999593</v>
      </c>
      <c r="O319" s="6">
        <f t="shared" si="19"/>
        <v>1.0027448933232448</v>
      </c>
    </row>
    <row r="320" spans="1:15" x14ac:dyDescent="0.2">
      <c r="A320" t="s">
        <v>26</v>
      </c>
      <c r="B320" t="s">
        <v>27</v>
      </c>
      <c r="C320" t="s">
        <v>28</v>
      </c>
      <c r="D320" t="s">
        <v>29</v>
      </c>
      <c r="E320" t="s">
        <v>30</v>
      </c>
      <c r="F320" s="1">
        <v>45444</v>
      </c>
      <c r="G320" t="s">
        <v>16</v>
      </c>
      <c r="H320" s="2">
        <v>555470.68000000005</v>
      </c>
      <c r="I320" s="2">
        <v>557455.25</v>
      </c>
      <c r="J320" s="2">
        <v>571136.42000000004</v>
      </c>
      <c r="K320" s="2">
        <v>561476.06999999995</v>
      </c>
      <c r="L320" s="2">
        <f t="shared" si="16"/>
        <v>1984.5699999999488</v>
      </c>
      <c r="M320" s="4">
        <f t="shared" si="17"/>
        <v>3.5727718337895866E-3</v>
      </c>
      <c r="N320" s="2">
        <f t="shared" si="18"/>
        <v>13681.170000000042</v>
      </c>
      <c r="O320" s="6">
        <f t="shared" si="19"/>
        <v>1.0245421852247334</v>
      </c>
    </row>
    <row r="321" spans="1:15" x14ac:dyDescent="0.2">
      <c r="A321" t="s">
        <v>26</v>
      </c>
      <c r="B321" t="s">
        <v>27</v>
      </c>
      <c r="C321" t="s">
        <v>28</v>
      </c>
      <c r="D321" t="s">
        <v>29</v>
      </c>
      <c r="E321" t="s">
        <v>30</v>
      </c>
      <c r="F321" s="1">
        <v>45444</v>
      </c>
      <c r="G321" t="s">
        <v>17</v>
      </c>
      <c r="H321" s="2">
        <v>438062.3</v>
      </c>
      <c r="I321" s="2">
        <v>493943.99</v>
      </c>
      <c r="J321" s="2">
        <v>426317.43</v>
      </c>
      <c r="K321" s="2">
        <v>472777.49</v>
      </c>
      <c r="L321" s="2">
        <f t="shared" si="16"/>
        <v>55881.69</v>
      </c>
      <c r="M321" s="4">
        <f t="shared" si="17"/>
        <v>0.12756562251533629</v>
      </c>
      <c r="N321" s="2">
        <f t="shared" si="18"/>
        <v>-67626.559999999998</v>
      </c>
      <c r="O321" s="6">
        <f t="shared" si="19"/>
        <v>0.86308860646325503</v>
      </c>
    </row>
    <row r="322" spans="1:15" x14ac:dyDescent="0.2">
      <c r="A322" t="s">
        <v>26</v>
      </c>
      <c r="B322" t="s">
        <v>27</v>
      </c>
      <c r="C322" t="s">
        <v>28</v>
      </c>
      <c r="D322" t="s">
        <v>29</v>
      </c>
      <c r="E322" t="s">
        <v>30</v>
      </c>
      <c r="F322" s="1">
        <v>45444</v>
      </c>
      <c r="G322" t="s">
        <v>18</v>
      </c>
      <c r="H322" s="2">
        <v>369225.74</v>
      </c>
      <c r="I322" s="2">
        <v>377688.94</v>
      </c>
      <c r="J322" s="2">
        <v>379576.38</v>
      </c>
      <c r="K322" s="2">
        <v>379632.66</v>
      </c>
      <c r="L322" s="2">
        <f t="shared" ref="L322:L385" si="20">I322-H322</f>
        <v>8463.2000000000116</v>
      </c>
      <c r="M322" s="4">
        <f t="shared" ref="M322:M385" si="21">L322/H322</f>
        <v>2.2921478876310228E-2</v>
      </c>
      <c r="N322" s="2">
        <f t="shared" ref="N322:N385" si="22">J322-I322</f>
        <v>1887.4400000000023</v>
      </c>
      <c r="O322" s="6">
        <f t="shared" ref="O322:O385" si="23">J322/I322</f>
        <v>1.0049973398744481</v>
      </c>
    </row>
    <row r="323" spans="1:15" x14ac:dyDescent="0.2">
      <c r="A323" t="s">
        <v>26</v>
      </c>
      <c r="B323" t="s">
        <v>27</v>
      </c>
      <c r="C323" t="s">
        <v>28</v>
      </c>
      <c r="D323" t="s">
        <v>29</v>
      </c>
      <c r="E323" t="s">
        <v>30</v>
      </c>
      <c r="F323" s="1">
        <v>45444</v>
      </c>
      <c r="G323" t="s">
        <v>19</v>
      </c>
      <c r="H323" s="2">
        <v>257341.2</v>
      </c>
      <c r="I323" s="2">
        <v>265189.03999999998</v>
      </c>
      <c r="J323" s="2">
        <v>251343.85</v>
      </c>
      <c r="K323" s="2">
        <v>264004.49</v>
      </c>
      <c r="L323" s="2">
        <f t="shared" si="20"/>
        <v>7847.8399999999674</v>
      </c>
      <c r="M323" s="4">
        <f t="shared" si="21"/>
        <v>3.0495855308050039E-2</v>
      </c>
      <c r="N323" s="2">
        <f t="shared" si="22"/>
        <v>-13845.189999999973</v>
      </c>
      <c r="O323" s="6">
        <f t="shared" si="23"/>
        <v>0.94779124355968869</v>
      </c>
    </row>
    <row r="324" spans="1:15" x14ac:dyDescent="0.2">
      <c r="A324" t="s">
        <v>26</v>
      </c>
      <c r="B324" t="s">
        <v>27</v>
      </c>
      <c r="C324" t="s">
        <v>28</v>
      </c>
      <c r="D324" t="s">
        <v>29</v>
      </c>
      <c r="E324" t="s">
        <v>30</v>
      </c>
      <c r="F324" s="1">
        <v>45444</v>
      </c>
      <c r="G324" t="s">
        <v>20</v>
      </c>
      <c r="H324" s="2">
        <v>60278.34</v>
      </c>
      <c r="I324" s="2">
        <v>60245.13</v>
      </c>
      <c r="J324" s="2">
        <v>61119.1</v>
      </c>
      <c r="K324" s="2">
        <v>59946.76</v>
      </c>
      <c r="L324" s="2">
        <f t="shared" si="20"/>
        <v>-33.209999999999127</v>
      </c>
      <c r="M324" s="4">
        <f t="shared" si="21"/>
        <v>-5.5094416999537698E-4</v>
      </c>
      <c r="N324" s="2">
        <f t="shared" si="22"/>
        <v>873.97000000000116</v>
      </c>
      <c r="O324" s="6">
        <f t="shared" si="23"/>
        <v>1.0145068987318975</v>
      </c>
    </row>
    <row r="325" spans="1:15" x14ac:dyDescent="0.2">
      <c r="A325" t="s">
        <v>26</v>
      </c>
      <c r="B325" t="s">
        <v>27</v>
      </c>
      <c r="C325" t="s">
        <v>28</v>
      </c>
      <c r="D325" t="s">
        <v>29</v>
      </c>
      <c r="E325" t="s">
        <v>30</v>
      </c>
      <c r="F325" s="1">
        <v>45444</v>
      </c>
      <c r="G325" t="s">
        <v>21</v>
      </c>
      <c r="H325" s="2">
        <v>97293.18</v>
      </c>
      <c r="I325" s="2">
        <v>99212.98</v>
      </c>
      <c r="J325" s="2">
        <v>96269.45</v>
      </c>
      <c r="K325" s="2">
        <v>100063.43</v>
      </c>
      <c r="L325" s="2">
        <f t="shared" si="20"/>
        <v>1919.8000000000029</v>
      </c>
      <c r="M325" s="4">
        <f t="shared" si="21"/>
        <v>1.9732112775016738E-2</v>
      </c>
      <c r="N325" s="2">
        <f t="shared" si="22"/>
        <v>-2943.5299999999988</v>
      </c>
      <c r="O325" s="6">
        <f t="shared" si="23"/>
        <v>0.97033120061508082</v>
      </c>
    </row>
    <row r="326" spans="1:15" x14ac:dyDescent="0.2">
      <c r="A326" t="s">
        <v>26</v>
      </c>
      <c r="B326" t="s">
        <v>27</v>
      </c>
      <c r="C326" t="s">
        <v>28</v>
      </c>
      <c r="D326" t="s">
        <v>29</v>
      </c>
      <c r="E326" t="s">
        <v>30</v>
      </c>
      <c r="F326" s="1">
        <v>45474</v>
      </c>
      <c r="G326" t="s">
        <v>16</v>
      </c>
      <c r="H326" s="2">
        <v>575411.66</v>
      </c>
      <c r="I326" s="2">
        <v>568425.42000000004</v>
      </c>
      <c r="J326" s="2">
        <v>585731.28</v>
      </c>
      <c r="K326" s="2">
        <v>569134.72</v>
      </c>
      <c r="L326" s="2">
        <f t="shared" si="20"/>
        <v>-6986.2399999999907</v>
      </c>
      <c r="M326" s="4">
        <f t="shared" si="21"/>
        <v>-1.214129028945988E-2</v>
      </c>
      <c r="N326" s="2">
        <f t="shared" si="22"/>
        <v>17305.859999999986</v>
      </c>
      <c r="O326" s="6">
        <f t="shared" si="23"/>
        <v>1.0304452605233594</v>
      </c>
    </row>
    <row r="327" spans="1:15" x14ac:dyDescent="0.2">
      <c r="A327" t="s">
        <v>26</v>
      </c>
      <c r="B327" t="s">
        <v>27</v>
      </c>
      <c r="C327" t="s">
        <v>28</v>
      </c>
      <c r="D327" t="s">
        <v>29</v>
      </c>
      <c r="E327" t="s">
        <v>30</v>
      </c>
      <c r="F327" s="1">
        <v>45474</v>
      </c>
      <c r="G327" t="s">
        <v>17</v>
      </c>
      <c r="H327" s="2">
        <v>445592.12</v>
      </c>
      <c r="I327" s="2">
        <v>499509.3</v>
      </c>
      <c r="J327" s="2">
        <v>451312.63</v>
      </c>
      <c r="K327" s="2">
        <v>479129.28</v>
      </c>
      <c r="L327" s="2">
        <f t="shared" si="20"/>
        <v>53917.179999999993</v>
      </c>
      <c r="M327" s="4">
        <f t="shared" si="21"/>
        <v>0.12100119723840716</v>
      </c>
      <c r="N327" s="2">
        <f t="shared" si="22"/>
        <v>-48196.669999999984</v>
      </c>
      <c r="O327" s="6">
        <f t="shared" si="23"/>
        <v>0.90351196664406452</v>
      </c>
    </row>
    <row r="328" spans="1:15" x14ac:dyDescent="0.2">
      <c r="A328" t="s">
        <v>26</v>
      </c>
      <c r="B328" t="s">
        <v>27</v>
      </c>
      <c r="C328" t="s">
        <v>28</v>
      </c>
      <c r="D328" t="s">
        <v>29</v>
      </c>
      <c r="E328" t="s">
        <v>30</v>
      </c>
      <c r="F328" s="1">
        <v>45474</v>
      </c>
      <c r="G328" t="s">
        <v>18</v>
      </c>
      <c r="H328" s="2">
        <v>349967.39</v>
      </c>
      <c r="I328" s="2">
        <v>360627.55</v>
      </c>
      <c r="J328" s="2">
        <v>343266.62</v>
      </c>
      <c r="K328" s="2">
        <v>361611.98</v>
      </c>
      <c r="L328" s="2">
        <f t="shared" si="20"/>
        <v>10660.159999999974</v>
      </c>
      <c r="M328" s="4">
        <f t="shared" si="21"/>
        <v>3.0460438042527259E-2</v>
      </c>
      <c r="N328" s="2">
        <f t="shared" si="22"/>
        <v>-17360.929999999993</v>
      </c>
      <c r="O328" s="6">
        <f t="shared" si="23"/>
        <v>0.9518591133705675</v>
      </c>
    </row>
    <row r="329" spans="1:15" x14ac:dyDescent="0.2">
      <c r="A329" t="s">
        <v>26</v>
      </c>
      <c r="B329" t="s">
        <v>27</v>
      </c>
      <c r="C329" t="s">
        <v>28</v>
      </c>
      <c r="D329" t="s">
        <v>29</v>
      </c>
      <c r="E329" t="s">
        <v>30</v>
      </c>
      <c r="F329" s="1">
        <v>45474</v>
      </c>
      <c r="G329" t="s">
        <v>19</v>
      </c>
      <c r="H329" s="2">
        <v>269476.37</v>
      </c>
      <c r="I329" s="2">
        <v>274091.63</v>
      </c>
      <c r="J329" s="2">
        <v>265610.83</v>
      </c>
      <c r="K329" s="2">
        <v>276751.5</v>
      </c>
      <c r="L329" s="2">
        <f t="shared" si="20"/>
        <v>4615.2600000000093</v>
      </c>
      <c r="M329" s="4">
        <f t="shared" si="21"/>
        <v>1.7126770707205273E-2</v>
      </c>
      <c r="N329" s="2">
        <f t="shared" si="22"/>
        <v>-8480.7999999999884</v>
      </c>
      <c r="O329" s="6">
        <f t="shared" si="23"/>
        <v>0.96905852250942504</v>
      </c>
    </row>
    <row r="330" spans="1:15" x14ac:dyDescent="0.2">
      <c r="A330" t="s">
        <v>26</v>
      </c>
      <c r="B330" t="s">
        <v>27</v>
      </c>
      <c r="C330" t="s">
        <v>28</v>
      </c>
      <c r="D330" t="s">
        <v>29</v>
      </c>
      <c r="E330" t="s">
        <v>30</v>
      </c>
      <c r="F330" s="1">
        <v>45474</v>
      </c>
      <c r="G330" t="s">
        <v>20</v>
      </c>
      <c r="H330" s="2">
        <v>64577.88</v>
      </c>
      <c r="I330" s="2">
        <v>66045.23</v>
      </c>
      <c r="J330" s="2">
        <v>66166.820000000007</v>
      </c>
      <c r="K330" s="2">
        <v>66230.77</v>
      </c>
      <c r="L330" s="2">
        <f t="shared" si="20"/>
        <v>1467.3499999999985</v>
      </c>
      <c r="M330" s="4">
        <f t="shared" si="21"/>
        <v>2.2722176695797364E-2</v>
      </c>
      <c r="N330" s="2">
        <f t="shared" si="22"/>
        <v>121.59000000001106</v>
      </c>
      <c r="O330" s="6">
        <f t="shared" si="23"/>
        <v>1.0018410110768032</v>
      </c>
    </row>
    <row r="331" spans="1:15" x14ac:dyDescent="0.2">
      <c r="A331" t="s">
        <v>26</v>
      </c>
      <c r="B331" t="s">
        <v>27</v>
      </c>
      <c r="C331" t="s">
        <v>28</v>
      </c>
      <c r="D331" t="s">
        <v>29</v>
      </c>
      <c r="E331" t="s">
        <v>30</v>
      </c>
      <c r="F331" s="1">
        <v>45474</v>
      </c>
      <c r="G331" t="s">
        <v>21</v>
      </c>
      <c r="H331" s="2">
        <v>99205.24</v>
      </c>
      <c r="I331" s="2">
        <v>95845.26</v>
      </c>
      <c r="J331" s="2">
        <v>97210.19</v>
      </c>
      <c r="K331" s="2">
        <v>96756.2</v>
      </c>
      <c r="L331" s="2">
        <f t="shared" si="20"/>
        <v>-3359.9800000000105</v>
      </c>
      <c r="M331" s="4">
        <f t="shared" si="21"/>
        <v>-3.3868977082259062E-2</v>
      </c>
      <c r="N331" s="2">
        <f t="shared" si="22"/>
        <v>1364.9300000000076</v>
      </c>
      <c r="O331" s="6">
        <f t="shared" si="23"/>
        <v>1.0142409755057267</v>
      </c>
    </row>
    <row r="332" spans="1:15" x14ac:dyDescent="0.2">
      <c r="A332" t="s">
        <v>26</v>
      </c>
      <c r="B332" t="s">
        <v>27</v>
      </c>
      <c r="C332" t="s">
        <v>28</v>
      </c>
      <c r="D332" t="s">
        <v>29</v>
      </c>
      <c r="E332" t="s">
        <v>30</v>
      </c>
      <c r="F332" s="1">
        <v>45505</v>
      </c>
      <c r="G332" t="s">
        <v>16</v>
      </c>
      <c r="H332" s="2">
        <v>576965.81000000006</v>
      </c>
      <c r="I332" s="2">
        <v>590662.43000000005</v>
      </c>
      <c r="J332" s="2">
        <v>572219.76</v>
      </c>
      <c r="K332" s="2">
        <v>588757.62</v>
      </c>
      <c r="L332" s="2">
        <f t="shared" si="20"/>
        <v>13696.619999999995</v>
      </c>
      <c r="M332" s="4">
        <f t="shared" si="21"/>
        <v>2.3739049632767656E-2</v>
      </c>
      <c r="N332" s="2">
        <f t="shared" si="22"/>
        <v>-18442.670000000042</v>
      </c>
      <c r="O332" s="6">
        <f t="shared" si="23"/>
        <v>0.96877629410084531</v>
      </c>
    </row>
    <row r="333" spans="1:15" x14ac:dyDescent="0.2">
      <c r="A333" t="s">
        <v>26</v>
      </c>
      <c r="B333" t="s">
        <v>27</v>
      </c>
      <c r="C333" t="s">
        <v>28</v>
      </c>
      <c r="D333" t="s">
        <v>29</v>
      </c>
      <c r="E333" t="s">
        <v>30</v>
      </c>
      <c r="F333" s="1">
        <v>45505</v>
      </c>
      <c r="G333" t="s">
        <v>17</v>
      </c>
      <c r="H333" s="2">
        <v>457795.63</v>
      </c>
      <c r="I333" s="2">
        <v>506752.59</v>
      </c>
      <c r="J333" s="2">
        <v>461303.38</v>
      </c>
      <c r="K333" s="2">
        <v>492222.47</v>
      </c>
      <c r="L333" s="2">
        <f t="shared" si="20"/>
        <v>48956.960000000021</v>
      </c>
      <c r="M333" s="4">
        <f t="shared" si="21"/>
        <v>0.10694064510838608</v>
      </c>
      <c r="N333" s="2">
        <f t="shared" si="22"/>
        <v>-45449.210000000021</v>
      </c>
      <c r="O333" s="6">
        <f t="shared" si="23"/>
        <v>0.91031282148947668</v>
      </c>
    </row>
    <row r="334" spans="1:15" x14ac:dyDescent="0.2">
      <c r="A334" t="s">
        <v>26</v>
      </c>
      <c r="B334" t="s">
        <v>27</v>
      </c>
      <c r="C334" t="s">
        <v>28</v>
      </c>
      <c r="D334" t="s">
        <v>29</v>
      </c>
      <c r="E334" t="s">
        <v>30</v>
      </c>
      <c r="F334" s="1">
        <v>45505</v>
      </c>
      <c r="G334" t="s">
        <v>18</v>
      </c>
      <c r="H334" s="2">
        <v>368906.64</v>
      </c>
      <c r="I334" s="2">
        <v>360566.75</v>
      </c>
      <c r="J334" s="2">
        <v>363369.88</v>
      </c>
      <c r="K334" s="2">
        <v>360609.22</v>
      </c>
      <c r="L334" s="2">
        <f t="shared" si="20"/>
        <v>-8339.890000000014</v>
      </c>
      <c r="M334" s="4">
        <f t="shared" si="21"/>
        <v>-2.260704768013938E-2</v>
      </c>
      <c r="N334" s="2">
        <f t="shared" si="22"/>
        <v>2803.1300000000047</v>
      </c>
      <c r="O334" s="6">
        <f t="shared" si="23"/>
        <v>1.0077742332036994</v>
      </c>
    </row>
    <row r="335" spans="1:15" x14ac:dyDescent="0.2">
      <c r="A335" t="s">
        <v>26</v>
      </c>
      <c r="B335" t="s">
        <v>27</v>
      </c>
      <c r="C335" t="s">
        <v>28</v>
      </c>
      <c r="D335" t="s">
        <v>29</v>
      </c>
      <c r="E335" t="s">
        <v>30</v>
      </c>
      <c r="F335" s="1">
        <v>45505</v>
      </c>
      <c r="G335" t="s">
        <v>19</v>
      </c>
      <c r="H335" s="2">
        <v>266519.23</v>
      </c>
      <c r="I335" s="2">
        <v>272589.84999999998</v>
      </c>
      <c r="J335" s="2">
        <v>264124.14</v>
      </c>
      <c r="K335" s="2">
        <v>274656.13</v>
      </c>
      <c r="L335" s="2">
        <f t="shared" si="20"/>
        <v>6070.6199999999953</v>
      </c>
      <c r="M335" s="4">
        <f t="shared" si="21"/>
        <v>2.2777418349887908E-2</v>
      </c>
      <c r="N335" s="2">
        <f t="shared" si="22"/>
        <v>-8465.7099999999627</v>
      </c>
      <c r="O335" s="6">
        <f t="shared" si="23"/>
        <v>0.96894341443747822</v>
      </c>
    </row>
    <row r="336" spans="1:15" x14ac:dyDescent="0.2">
      <c r="A336" t="s">
        <v>26</v>
      </c>
      <c r="B336" t="s">
        <v>27</v>
      </c>
      <c r="C336" t="s">
        <v>28</v>
      </c>
      <c r="D336" t="s">
        <v>29</v>
      </c>
      <c r="E336" t="s">
        <v>30</v>
      </c>
      <c r="F336" s="1">
        <v>45505</v>
      </c>
      <c r="G336" t="s">
        <v>20</v>
      </c>
      <c r="H336" s="2">
        <v>64361.36</v>
      </c>
      <c r="I336" s="2">
        <v>64044.39</v>
      </c>
      <c r="J336" s="2">
        <v>64309.39</v>
      </c>
      <c r="K336" s="2">
        <v>64642.14</v>
      </c>
      <c r="L336" s="2">
        <f t="shared" si="20"/>
        <v>-316.97000000000116</v>
      </c>
      <c r="M336" s="4">
        <f t="shared" si="21"/>
        <v>-4.9248493195296244E-3</v>
      </c>
      <c r="N336" s="2">
        <f t="shared" si="22"/>
        <v>265</v>
      </c>
      <c r="O336" s="6">
        <f t="shared" si="23"/>
        <v>1.0041377550789383</v>
      </c>
    </row>
    <row r="337" spans="1:15" x14ac:dyDescent="0.2">
      <c r="A337" t="s">
        <v>26</v>
      </c>
      <c r="B337" t="s">
        <v>27</v>
      </c>
      <c r="C337" t="s">
        <v>28</v>
      </c>
      <c r="D337" t="s">
        <v>29</v>
      </c>
      <c r="E337" t="s">
        <v>30</v>
      </c>
      <c r="F337" s="1">
        <v>45505</v>
      </c>
      <c r="G337" t="s">
        <v>21</v>
      </c>
      <c r="H337" s="2">
        <v>99942.73</v>
      </c>
      <c r="I337" s="2">
        <v>98578.01</v>
      </c>
      <c r="J337" s="2">
        <v>97330.72</v>
      </c>
      <c r="K337" s="2">
        <v>98627.25</v>
      </c>
      <c r="L337" s="2">
        <f t="shared" si="20"/>
        <v>-1364.7200000000012</v>
      </c>
      <c r="M337" s="4">
        <f t="shared" si="21"/>
        <v>-1.3655020230085782E-2</v>
      </c>
      <c r="N337" s="2">
        <f t="shared" si="22"/>
        <v>-1247.2899999999936</v>
      </c>
      <c r="O337" s="6">
        <f t="shared" si="23"/>
        <v>0.98734717813841044</v>
      </c>
    </row>
    <row r="338" spans="1:15" x14ac:dyDescent="0.2">
      <c r="A338" t="s">
        <v>26</v>
      </c>
      <c r="B338" t="s">
        <v>27</v>
      </c>
      <c r="C338" t="s">
        <v>28</v>
      </c>
      <c r="D338" t="s">
        <v>29</v>
      </c>
      <c r="E338" t="s">
        <v>30</v>
      </c>
      <c r="F338" s="1">
        <v>45536</v>
      </c>
      <c r="G338" t="s">
        <v>16</v>
      </c>
      <c r="H338" s="2">
        <v>594628.91</v>
      </c>
      <c r="I338" s="2">
        <v>581673.59</v>
      </c>
      <c r="J338" s="2">
        <v>577797.69999999995</v>
      </c>
      <c r="K338" s="2">
        <v>585273.53</v>
      </c>
      <c r="L338" s="2">
        <f t="shared" si="20"/>
        <v>-12955.320000000065</v>
      </c>
      <c r="M338" s="4">
        <f t="shared" si="21"/>
        <v>-2.1787235336405128E-2</v>
      </c>
      <c r="N338" s="2">
        <f t="shared" si="22"/>
        <v>-3875.890000000014</v>
      </c>
      <c r="O338" s="6">
        <f t="shared" si="23"/>
        <v>0.99333665810751348</v>
      </c>
    </row>
    <row r="339" spans="1:15" x14ac:dyDescent="0.2">
      <c r="A339" t="s">
        <v>26</v>
      </c>
      <c r="B339" t="s">
        <v>27</v>
      </c>
      <c r="C339" t="s">
        <v>28</v>
      </c>
      <c r="D339" t="s">
        <v>29</v>
      </c>
      <c r="E339" t="s">
        <v>30</v>
      </c>
      <c r="F339" s="1">
        <v>45536</v>
      </c>
      <c r="G339" t="s">
        <v>17</v>
      </c>
      <c r="H339" s="2">
        <v>462605.54</v>
      </c>
      <c r="I339" s="2">
        <v>494781.52</v>
      </c>
      <c r="J339" s="2">
        <v>452610.03</v>
      </c>
      <c r="K339" s="2">
        <v>478717.08</v>
      </c>
      <c r="L339" s="2">
        <f t="shared" si="20"/>
        <v>32175.98000000004</v>
      </c>
      <c r="M339" s="4">
        <f t="shared" si="21"/>
        <v>6.9553814681942716E-2</v>
      </c>
      <c r="N339" s="2">
        <f t="shared" si="22"/>
        <v>-42171.489999999991</v>
      </c>
      <c r="O339" s="6">
        <f t="shared" si="23"/>
        <v>0.91476745129850445</v>
      </c>
    </row>
    <row r="340" spans="1:15" x14ac:dyDescent="0.2">
      <c r="A340" t="s">
        <v>26</v>
      </c>
      <c r="B340" t="s">
        <v>27</v>
      </c>
      <c r="C340" t="s">
        <v>28</v>
      </c>
      <c r="D340" t="s">
        <v>29</v>
      </c>
      <c r="E340" t="s">
        <v>30</v>
      </c>
      <c r="F340" s="1">
        <v>45536</v>
      </c>
      <c r="G340" t="s">
        <v>18</v>
      </c>
      <c r="H340" s="2">
        <v>362603.87</v>
      </c>
      <c r="I340" s="2">
        <v>368520.17</v>
      </c>
      <c r="J340" s="2">
        <v>358397.5</v>
      </c>
      <c r="K340" s="2">
        <v>365590.98</v>
      </c>
      <c r="L340" s="2">
        <f t="shared" si="20"/>
        <v>5916.2999999999884</v>
      </c>
      <c r="M340" s="4">
        <f t="shared" si="21"/>
        <v>1.6316152389658688E-2</v>
      </c>
      <c r="N340" s="2">
        <f t="shared" si="22"/>
        <v>-10122.669999999984</v>
      </c>
      <c r="O340" s="6">
        <f t="shared" si="23"/>
        <v>0.9725315713384155</v>
      </c>
    </row>
    <row r="341" spans="1:15" x14ac:dyDescent="0.2">
      <c r="A341" t="s">
        <v>26</v>
      </c>
      <c r="B341" t="s">
        <v>27</v>
      </c>
      <c r="C341" t="s">
        <v>28</v>
      </c>
      <c r="D341" t="s">
        <v>29</v>
      </c>
      <c r="E341" t="s">
        <v>30</v>
      </c>
      <c r="F341" s="1">
        <v>45536</v>
      </c>
      <c r="G341" t="s">
        <v>19</v>
      </c>
      <c r="H341" s="2">
        <v>266292.03000000003</v>
      </c>
      <c r="I341" s="2">
        <v>265993.89</v>
      </c>
      <c r="J341" s="2">
        <v>267600.31</v>
      </c>
      <c r="K341" s="2">
        <v>266887.18</v>
      </c>
      <c r="L341" s="2">
        <f t="shared" si="20"/>
        <v>-298.14000000001397</v>
      </c>
      <c r="M341" s="4">
        <f t="shared" si="21"/>
        <v>-1.1195979091075837E-3</v>
      </c>
      <c r="N341" s="2">
        <f t="shared" si="22"/>
        <v>1606.4199999999837</v>
      </c>
      <c r="O341" s="6">
        <f t="shared" si="23"/>
        <v>1.0060393116548654</v>
      </c>
    </row>
    <row r="342" spans="1:15" x14ac:dyDescent="0.2">
      <c r="A342" t="s">
        <v>26</v>
      </c>
      <c r="B342" t="s">
        <v>27</v>
      </c>
      <c r="C342" t="s">
        <v>28</v>
      </c>
      <c r="D342" t="s">
        <v>29</v>
      </c>
      <c r="E342" t="s">
        <v>30</v>
      </c>
      <c r="F342" s="1">
        <v>45536</v>
      </c>
      <c r="G342" t="s">
        <v>20</v>
      </c>
      <c r="H342" s="2">
        <v>62775.72</v>
      </c>
      <c r="I342" s="2">
        <v>61323.45</v>
      </c>
      <c r="J342" s="2">
        <v>61855.58</v>
      </c>
      <c r="K342" s="2">
        <v>62534.81</v>
      </c>
      <c r="L342" s="2">
        <f t="shared" si="20"/>
        <v>-1452.2700000000041</v>
      </c>
      <c r="M342" s="4">
        <f t="shared" si="21"/>
        <v>-2.3134262737249434E-2</v>
      </c>
      <c r="N342" s="2">
        <f t="shared" si="22"/>
        <v>532.13000000000466</v>
      </c>
      <c r="O342" s="6">
        <f t="shared" si="23"/>
        <v>1.0086774309012296</v>
      </c>
    </row>
    <row r="343" spans="1:15" x14ac:dyDescent="0.2">
      <c r="A343" t="s">
        <v>26</v>
      </c>
      <c r="B343" t="s">
        <v>27</v>
      </c>
      <c r="C343" t="s">
        <v>28</v>
      </c>
      <c r="D343" t="s">
        <v>29</v>
      </c>
      <c r="E343" t="s">
        <v>30</v>
      </c>
      <c r="F343" s="1">
        <v>45536</v>
      </c>
      <c r="G343" t="s">
        <v>21</v>
      </c>
      <c r="H343" s="2">
        <v>97586.68</v>
      </c>
      <c r="I343" s="2">
        <v>98286.49</v>
      </c>
      <c r="J343" s="2">
        <v>98320.38</v>
      </c>
      <c r="K343" s="2">
        <v>99347.95</v>
      </c>
      <c r="L343" s="2">
        <f t="shared" si="20"/>
        <v>699.81000000001222</v>
      </c>
      <c r="M343" s="4">
        <f t="shared" si="21"/>
        <v>7.1711631136545714E-3</v>
      </c>
      <c r="N343" s="2">
        <f t="shared" si="22"/>
        <v>33.889999999999418</v>
      </c>
      <c r="O343" s="6">
        <f t="shared" si="23"/>
        <v>1.0003448083251321</v>
      </c>
    </row>
    <row r="344" spans="1:15" x14ac:dyDescent="0.2">
      <c r="A344" t="s">
        <v>26</v>
      </c>
      <c r="B344" t="s">
        <v>27</v>
      </c>
      <c r="C344" t="s">
        <v>28</v>
      </c>
      <c r="D344" t="s">
        <v>29</v>
      </c>
      <c r="E344" t="s">
        <v>30</v>
      </c>
      <c r="F344" s="1">
        <v>45566</v>
      </c>
      <c r="G344" t="s">
        <v>16</v>
      </c>
      <c r="H344" s="2">
        <v>600307.72</v>
      </c>
      <c r="I344" s="2">
        <v>596580.82999999996</v>
      </c>
      <c r="J344" s="2">
        <v>616027.15</v>
      </c>
      <c r="K344" s="2">
        <v>603470.42000000004</v>
      </c>
      <c r="L344" s="2">
        <f t="shared" si="20"/>
        <v>-3726.890000000014</v>
      </c>
      <c r="M344" s="4">
        <f t="shared" si="21"/>
        <v>-6.2082993035638689E-3</v>
      </c>
      <c r="N344" s="2">
        <f t="shared" si="22"/>
        <v>19446.320000000065</v>
      </c>
      <c r="O344" s="6">
        <f t="shared" si="23"/>
        <v>1.0325962870781484</v>
      </c>
    </row>
    <row r="345" spans="1:15" x14ac:dyDescent="0.2">
      <c r="A345" t="s">
        <v>26</v>
      </c>
      <c r="B345" t="s">
        <v>27</v>
      </c>
      <c r="C345" t="s">
        <v>28</v>
      </c>
      <c r="D345" t="s">
        <v>29</v>
      </c>
      <c r="E345" t="s">
        <v>30</v>
      </c>
      <c r="F345" s="1">
        <v>45566</v>
      </c>
      <c r="G345" t="s">
        <v>17</v>
      </c>
      <c r="H345" s="2">
        <v>484253.16</v>
      </c>
      <c r="I345" s="2">
        <v>543378.01</v>
      </c>
      <c r="J345" s="2">
        <v>473487.58</v>
      </c>
      <c r="K345" s="2">
        <v>521380.7</v>
      </c>
      <c r="L345" s="2">
        <f t="shared" si="20"/>
        <v>59124.850000000035</v>
      </c>
      <c r="M345" s="4">
        <f t="shared" si="21"/>
        <v>0.12209491828612959</v>
      </c>
      <c r="N345" s="2">
        <f t="shared" si="22"/>
        <v>-69890.429999999993</v>
      </c>
      <c r="O345" s="6">
        <f t="shared" si="23"/>
        <v>0.87137788295849516</v>
      </c>
    </row>
    <row r="346" spans="1:15" x14ac:dyDescent="0.2">
      <c r="A346" t="s">
        <v>26</v>
      </c>
      <c r="B346" t="s">
        <v>27</v>
      </c>
      <c r="C346" t="s">
        <v>28</v>
      </c>
      <c r="D346" t="s">
        <v>29</v>
      </c>
      <c r="E346" t="s">
        <v>30</v>
      </c>
      <c r="F346" s="1">
        <v>45566</v>
      </c>
      <c r="G346" t="s">
        <v>18</v>
      </c>
      <c r="H346" s="2">
        <v>374281.93</v>
      </c>
      <c r="I346" s="2">
        <v>399781.7</v>
      </c>
      <c r="J346" s="2">
        <v>373118.36</v>
      </c>
      <c r="K346" s="2">
        <v>392418.77</v>
      </c>
      <c r="L346" s="2">
        <f t="shared" si="20"/>
        <v>25499.770000000019</v>
      </c>
      <c r="M346" s="4">
        <f t="shared" si="21"/>
        <v>6.81298453280927E-2</v>
      </c>
      <c r="N346" s="2">
        <f t="shared" si="22"/>
        <v>-26663.340000000026</v>
      </c>
      <c r="O346" s="6">
        <f t="shared" si="23"/>
        <v>0.93330525134091924</v>
      </c>
    </row>
    <row r="347" spans="1:15" x14ac:dyDescent="0.2">
      <c r="A347" t="s">
        <v>26</v>
      </c>
      <c r="B347" t="s">
        <v>27</v>
      </c>
      <c r="C347" t="s">
        <v>28</v>
      </c>
      <c r="D347" t="s">
        <v>29</v>
      </c>
      <c r="E347" t="s">
        <v>30</v>
      </c>
      <c r="F347" s="1">
        <v>45566</v>
      </c>
      <c r="G347" t="s">
        <v>19</v>
      </c>
      <c r="H347" s="2">
        <v>260022.48</v>
      </c>
      <c r="I347" s="2">
        <v>252158.23</v>
      </c>
      <c r="J347" s="2">
        <v>262950.56</v>
      </c>
      <c r="K347" s="2">
        <v>256924.93</v>
      </c>
      <c r="L347" s="2">
        <f t="shared" si="20"/>
        <v>-7864.25</v>
      </c>
      <c r="M347" s="4">
        <f t="shared" si="21"/>
        <v>-3.0244500398580922E-2</v>
      </c>
      <c r="N347" s="2">
        <f t="shared" si="22"/>
        <v>10792.329999999987</v>
      </c>
      <c r="O347" s="6">
        <f t="shared" si="23"/>
        <v>1.0427998324702707</v>
      </c>
    </row>
    <row r="348" spans="1:15" x14ac:dyDescent="0.2">
      <c r="A348" t="s">
        <v>26</v>
      </c>
      <c r="B348" t="s">
        <v>27</v>
      </c>
      <c r="C348" t="s">
        <v>28</v>
      </c>
      <c r="D348" t="s">
        <v>29</v>
      </c>
      <c r="E348" t="s">
        <v>30</v>
      </c>
      <c r="F348" s="1">
        <v>45566</v>
      </c>
      <c r="G348" t="s">
        <v>20</v>
      </c>
      <c r="H348" s="2">
        <v>66307.88</v>
      </c>
      <c r="I348" s="2">
        <v>65402.239999999998</v>
      </c>
      <c r="J348" s="2">
        <v>67556.83</v>
      </c>
      <c r="K348" s="2">
        <v>65789.710000000006</v>
      </c>
      <c r="L348" s="2">
        <f t="shared" si="20"/>
        <v>-905.64000000000669</v>
      </c>
      <c r="M348" s="4">
        <f t="shared" si="21"/>
        <v>-1.365810519051441E-2</v>
      </c>
      <c r="N348" s="2">
        <f t="shared" si="22"/>
        <v>2154.5900000000038</v>
      </c>
      <c r="O348" s="6">
        <f t="shared" si="23"/>
        <v>1.0329436728772594</v>
      </c>
    </row>
    <row r="349" spans="1:15" x14ac:dyDescent="0.2">
      <c r="A349" t="s">
        <v>26</v>
      </c>
      <c r="B349" t="s">
        <v>27</v>
      </c>
      <c r="C349" t="s">
        <v>28</v>
      </c>
      <c r="D349" t="s">
        <v>29</v>
      </c>
      <c r="E349" t="s">
        <v>30</v>
      </c>
      <c r="F349" s="1">
        <v>45566</v>
      </c>
      <c r="G349" t="s">
        <v>21</v>
      </c>
      <c r="H349" s="2">
        <v>101724.55</v>
      </c>
      <c r="I349" s="2">
        <v>102834.19</v>
      </c>
      <c r="J349" s="2">
        <v>98861.37</v>
      </c>
      <c r="K349" s="2">
        <v>101357.78</v>
      </c>
      <c r="L349" s="2">
        <f t="shared" si="20"/>
        <v>1109.6399999999994</v>
      </c>
      <c r="M349" s="4">
        <f t="shared" si="21"/>
        <v>1.0908281235945496E-2</v>
      </c>
      <c r="N349" s="2">
        <f t="shared" si="22"/>
        <v>-3972.820000000007</v>
      </c>
      <c r="O349" s="6">
        <f t="shared" si="23"/>
        <v>0.96136673999182565</v>
      </c>
    </row>
    <row r="350" spans="1:15" x14ac:dyDescent="0.2">
      <c r="A350" t="s">
        <v>26</v>
      </c>
      <c r="B350" t="s">
        <v>27</v>
      </c>
      <c r="C350" t="s">
        <v>28</v>
      </c>
      <c r="D350" t="s">
        <v>29</v>
      </c>
      <c r="E350" t="s">
        <v>30</v>
      </c>
      <c r="F350" s="1">
        <v>45597</v>
      </c>
      <c r="G350" t="s">
        <v>16</v>
      </c>
      <c r="H350" s="2">
        <v>615140.09</v>
      </c>
      <c r="I350" s="2">
        <v>602611.56999999995</v>
      </c>
      <c r="J350" s="2">
        <v>610022.59</v>
      </c>
      <c r="K350" s="2">
        <v>607352.97</v>
      </c>
      <c r="L350" s="2">
        <f t="shared" si="20"/>
        <v>-12528.520000000019</v>
      </c>
      <c r="M350" s="4">
        <f t="shared" si="21"/>
        <v>-2.0366937879142327E-2</v>
      </c>
      <c r="N350" s="2">
        <f t="shared" si="22"/>
        <v>7411.0200000000186</v>
      </c>
      <c r="O350" s="6">
        <f t="shared" si="23"/>
        <v>1.012298170776907</v>
      </c>
    </row>
    <row r="351" spans="1:15" x14ac:dyDescent="0.2">
      <c r="A351" t="s">
        <v>26</v>
      </c>
      <c r="B351" t="s">
        <v>27</v>
      </c>
      <c r="C351" t="s">
        <v>28</v>
      </c>
      <c r="D351" t="s">
        <v>29</v>
      </c>
      <c r="E351" t="s">
        <v>30</v>
      </c>
      <c r="F351" s="1">
        <v>45597</v>
      </c>
      <c r="G351" t="s">
        <v>17</v>
      </c>
      <c r="H351" s="2">
        <v>474094.67</v>
      </c>
      <c r="I351" s="2">
        <v>529910.54</v>
      </c>
      <c r="J351" s="2">
        <v>485395.9</v>
      </c>
      <c r="K351" s="2">
        <v>506405.26</v>
      </c>
      <c r="L351" s="2">
        <f t="shared" si="20"/>
        <v>55815.870000000054</v>
      </c>
      <c r="M351" s="4">
        <f t="shared" si="21"/>
        <v>0.11773148599202783</v>
      </c>
      <c r="N351" s="2">
        <f t="shared" si="22"/>
        <v>-44514.640000000014</v>
      </c>
      <c r="O351" s="6">
        <f t="shared" si="23"/>
        <v>0.91599593395519174</v>
      </c>
    </row>
    <row r="352" spans="1:15" x14ac:dyDescent="0.2">
      <c r="A352" t="s">
        <v>26</v>
      </c>
      <c r="B352" t="s">
        <v>27</v>
      </c>
      <c r="C352" t="s">
        <v>28</v>
      </c>
      <c r="D352" t="s">
        <v>29</v>
      </c>
      <c r="E352" t="s">
        <v>30</v>
      </c>
      <c r="F352" s="1">
        <v>45597</v>
      </c>
      <c r="G352" t="s">
        <v>18</v>
      </c>
      <c r="H352" s="2">
        <v>362322.8</v>
      </c>
      <c r="I352" s="2">
        <v>379427.05</v>
      </c>
      <c r="J352" s="2">
        <v>357836.02</v>
      </c>
      <c r="K352" s="2">
        <v>371325.98</v>
      </c>
      <c r="L352" s="2">
        <f t="shared" si="20"/>
        <v>17104.25</v>
      </c>
      <c r="M352" s="4">
        <f t="shared" si="21"/>
        <v>4.7207214119564106E-2</v>
      </c>
      <c r="N352" s="2">
        <f t="shared" si="22"/>
        <v>-21591.02999999997</v>
      </c>
      <c r="O352" s="6">
        <f t="shared" si="23"/>
        <v>0.94309570179564173</v>
      </c>
    </row>
    <row r="353" spans="1:15" x14ac:dyDescent="0.2">
      <c r="A353" t="s">
        <v>26</v>
      </c>
      <c r="B353" t="s">
        <v>27</v>
      </c>
      <c r="C353" t="s">
        <v>28</v>
      </c>
      <c r="D353" t="s">
        <v>29</v>
      </c>
      <c r="E353" t="s">
        <v>30</v>
      </c>
      <c r="F353" s="1">
        <v>45597</v>
      </c>
      <c r="G353" t="s">
        <v>19</v>
      </c>
      <c r="H353" s="2">
        <v>276096.53999999998</v>
      </c>
      <c r="I353" s="2">
        <v>268995.56</v>
      </c>
      <c r="J353" s="2">
        <v>278544.46999999997</v>
      </c>
      <c r="K353" s="2">
        <v>275971.40000000002</v>
      </c>
      <c r="L353" s="2">
        <f t="shared" si="20"/>
        <v>-7100.9799999999814</v>
      </c>
      <c r="M353" s="4">
        <f t="shared" si="21"/>
        <v>-2.5719192279627923E-2</v>
      </c>
      <c r="N353" s="2">
        <f t="shared" si="22"/>
        <v>9548.9099999999744</v>
      </c>
      <c r="O353" s="6">
        <f t="shared" si="23"/>
        <v>1.0354983926128742</v>
      </c>
    </row>
    <row r="354" spans="1:15" x14ac:dyDescent="0.2">
      <c r="A354" t="s">
        <v>26</v>
      </c>
      <c r="B354" t="s">
        <v>27</v>
      </c>
      <c r="C354" t="s">
        <v>28</v>
      </c>
      <c r="D354" t="s">
        <v>29</v>
      </c>
      <c r="E354" t="s">
        <v>30</v>
      </c>
      <c r="F354" s="1">
        <v>45597</v>
      </c>
      <c r="G354" t="s">
        <v>20</v>
      </c>
      <c r="H354" s="2">
        <v>67003.3</v>
      </c>
      <c r="I354" s="2">
        <v>65328.06</v>
      </c>
      <c r="J354" s="2">
        <v>68464.42</v>
      </c>
      <c r="K354" s="2">
        <v>65654.02</v>
      </c>
      <c r="L354" s="2">
        <f t="shared" si="20"/>
        <v>-1675.2400000000052</v>
      </c>
      <c r="M354" s="4">
        <f t="shared" si="21"/>
        <v>-2.5002350630491412E-2</v>
      </c>
      <c r="N354" s="2">
        <f t="shared" si="22"/>
        <v>3136.3600000000006</v>
      </c>
      <c r="O354" s="6">
        <f t="shared" si="23"/>
        <v>1.0480093852473196</v>
      </c>
    </row>
    <row r="355" spans="1:15" x14ac:dyDescent="0.2">
      <c r="A355" t="s">
        <v>26</v>
      </c>
      <c r="B355" t="s">
        <v>27</v>
      </c>
      <c r="C355" t="s">
        <v>28</v>
      </c>
      <c r="D355" t="s">
        <v>29</v>
      </c>
      <c r="E355" t="s">
        <v>30</v>
      </c>
      <c r="F355" s="1">
        <v>45597</v>
      </c>
      <c r="G355" t="s">
        <v>21</v>
      </c>
      <c r="H355" s="2">
        <v>96678.74</v>
      </c>
      <c r="I355" s="2">
        <v>97887.3</v>
      </c>
      <c r="J355" s="2">
        <v>96025.73</v>
      </c>
      <c r="K355" s="2">
        <v>96708.13</v>
      </c>
      <c r="L355" s="2">
        <f t="shared" si="20"/>
        <v>1208.5599999999977</v>
      </c>
      <c r="M355" s="4">
        <f t="shared" si="21"/>
        <v>1.2500783522830331E-2</v>
      </c>
      <c r="N355" s="2">
        <f t="shared" si="22"/>
        <v>-1861.570000000007</v>
      </c>
      <c r="O355" s="6">
        <f t="shared" si="23"/>
        <v>0.9809825176503999</v>
      </c>
    </row>
    <row r="356" spans="1:15" x14ac:dyDescent="0.2">
      <c r="A356" t="s">
        <v>26</v>
      </c>
      <c r="B356" t="s">
        <v>27</v>
      </c>
      <c r="C356" t="s">
        <v>28</v>
      </c>
      <c r="D356" t="s">
        <v>29</v>
      </c>
      <c r="E356" t="s">
        <v>30</v>
      </c>
      <c r="F356" s="1">
        <v>45627</v>
      </c>
      <c r="G356" t="s">
        <v>16</v>
      </c>
      <c r="H356" s="2">
        <v>598245.56000000006</v>
      </c>
      <c r="I356" s="2">
        <v>582475.64</v>
      </c>
      <c r="J356" s="2">
        <v>581059.93999999994</v>
      </c>
      <c r="K356" s="2">
        <v>594779.75</v>
      </c>
      <c r="L356" s="2">
        <f t="shared" si="20"/>
        <v>-15769.920000000042</v>
      </c>
      <c r="M356" s="4">
        <f t="shared" si="21"/>
        <v>-2.6360279213773086E-2</v>
      </c>
      <c r="N356" s="2">
        <f t="shared" si="22"/>
        <v>-1415.7000000000698</v>
      </c>
      <c r="O356" s="6">
        <f t="shared" si="23"/>
        <v>0.997569512091527</v>
      </c>
    </row>
    <row r="357" spans="1:15" x14ac:dyDescent="0.2">
      <c r="A357" t="s">
        <v>26</v>
      </c>
      <c r="B357" t="s">
        <v>27</v>
      </c>
      <c r="C357" t="s">
        <v>28</v>
      </c>
      <c r="D357" t="s">
        <v>29</v>
      </c>
      <c r="E357" t="s">
        <v>30</v>
      </c>
      <c r="F357" s="1">
        <v>45627</v>
      </c>
      <c r="G357" t="s">
        <v>17</v>
      </c>
      <c r="H357" s="2">
        <v>486191.13</v>
      </c>
      <c r="I357" s="2">
        <v>561007.51</v>
      </c>
      <c r="J357" s="2">
        <v>478412.09</v>
      </c>
      <c r="K357" s="2">
        <v>534091.61</v>
      </c>
      <c r="L357" s="2">
        <f t="shared" si="20"/>
        <v>74816.38</v>
      </c>
      <c r="M357" s="4">
        <f t="shared" si="21"/>
        <v>0.15388265104713039</v>
      </c>
      <c r="N357" s="2">
        <f t="shared" si="22"/>
        <v>-82595.419999999984</v>
      </c>
      <c r="O357" s="6">
        <f t="shared" si="23"/>
        <v>0.85277305824301719</v>
      </c>
    </row>
    <row r="358" spans="1:15" x14ac:dyDescent="0.2">
      <c r="A358" t="s">
        <v>26</v>
      </c>
      <c r="B358" t="s">
        <v>27</v>
      </c>
      <c r="C358" t="s">
        <v>28</v>
      </c>
      <c r="D358" t="s">
        <v>29</v>
      </c>
      <c r="E358" t="s">
        <v>30</v>
      </c>
      <c r="F358" s="1">
        <v>45627</v>
      </c>
      <c r="G358" t="s">
        <v>18</v>
      </c>
      <c r="H358" s="2">
        <v>367528.95</v>
      </c>
      <c r="I358" s="2">
        <v>383236.54</v>
      </c>
      <c r="J358" s="2">
        <v>361135.81</v>
      </c>
      <c r="K358" s="2">
        <v>380971.9</v>
      </c>
      <c r="L358" s="2">
        <f t="shared" si="20"/>
        <v>15707.589999999967</v>
      </c>
      <c r="M358" s="4">
        <f t="shared" si="21"/>
        <v>4.2738374759321587E-2</v>
      </c>
      <c r="N358" s="2">
        <f t="shared" si="22"/>
        <v>-22100.729999999981</v>
      </c>
      <c r="O358" s="6">
        <f t="shared" si="23"/>
        <v>0.94233136015683683</v>
      </c>
    </row>
    <row r="359" spans="1:15" x14ac:dyDescent="0.2">
      <c r="A359" t="s">
        <v>26</v>
      </c>
      <c r="B359" t="s">
        <v>27</v>
      </c>
      <c r="C359" t="s">
        <v>28</v>
      </c>
      <c r="D359" t="s">
        <v>29</v>
      </c>
      <c r="E359" t="s">
        <v>30</v>
      </c>
      <c r="F359" s="1">
        <v>45627</v>
      </c>
      <c r="G359" t="s">
        <v>19</v>
      </c>
      <c r="H359" s="2">
        <v>279769.86</v>
      </c>
      <c r="I359" s="2">
        <v>274311.49</v>
      </c>
      <c r="J359" s="2">
        <v>280535.65000000002</v>
      </c>
      <c r="K359" s="2">
        <v>278089.51</v>
      </c>
      <c r="L359" s="2">
        <f t="shared" si="20"/>
        <v>-5458.3699999999953</v>
      </c>
      <c r="M359" s="4">
        <f t="shared" si="21"/>
        <v>-1.951021457422181E-2</v>
      </c>
      <c r="N359" s="2">
        <f t="shared" si="22"/>
        <v>6224.1600000000326</v>
      </c>
      <c r="O359" s="6">
        <f t="shared" si="23"/>
        <v>1.0226901177198229</v>
      </c>
    </row>
    <row r="360" spans="1:15" x14ac:dyDescent="0.2">
      <c r="A360" t="s">
        <v>26</v>
      </c>
      <c r="B360" t="s">
        <v>27</v>
      </c>
      <c r="C360" t="s">
        <v>28</v>
      </c>
      <c r="D360" t="s">
        <v>29</v>
      </c>
      <c r="E360" t="s">
        <v>30</v>
      </c>
      <c r="F360" s="1">
        <v>45627</v>
      </c>
      <c r="G360" t="s">
        <v>20</v>
      </c>
      <c r="H360" s="2">
        <v>67472.78</v>
      </c>
      <c r="I360" s="2">
        <v>65687.259999999995</v>
      </c>
      <c r="J360" s="2">
        <v>68907.710000000006</v>
      </c>
      <c r="K360" s="2">
        <v>66175.56</v>
      </c>
      <c r="L360" s="2">
        <f t="shared" si="20"/>
        <v>-1785.5200000000041</v>
      </c>
      <c r="M360" s="4">
        <f t="shared" si="21"/>
        <v>-2.646281952514783E-2</v>
      </c>
      <c r="N360" s="2">
        <f t="shared" si="22"/>
        <v>3220.4500000000116</v>
      </c>
      <c r="O360" s="6">
        <f t="shared" si="23"/>
        <v>1.0490270107171469</v>
      </c>
    </row>
    <row r="361" spans="1:15" x14ac:dyDescent="0.2">
      <c r="A361" t="s">
        <v>26</v>
      </c>
      <c r="B361" t="s">
        <v>27</v>
      </c>
      <c r="C361" t="s">
        <v>28</v>
      </c>
      <c r="D361" t="s">
        <v>29</v>
      </c>
      <c r="E361" t="s">
        <v>30</v>
      </c>
      <c r="F361" s="1">
        <v>45627</v>
      </c>
      <c r="G361" t="s">
        <v>21</v>
      </c>
      <c r="H361" s="2">
        <v>103589.22</v>
      </c>
      <c r="I361" s="2">
        <v>105531.55</v>
      </c>
      <c r="J361" s="2">
        <v>101650.55</v>
      </c>
      <c r="K361" s="2">
        <v>106003.17</v>
      </c>
      <c r="L361" s="2">
        <f t="shared" si="20"/>
        <v>1942.3300000000017</v>
      </c>
      <c r="M361" s="4">
        <f t="shared" si="21"/>
        <v>1.8750310119141758E-2</v>
      </c>
      <c r="N361" s="2">
        <f t="shared" si="22"/>
        <v>-3881</v>
      </c>
      <c r="O361" s="6">
        <f t="shared" si="23"/>
        <v>0.96322426800326533</v>
      </c>
    </row>
    <row r="362" spans="1:15" x14ac:dyDescent="0.2">
      <c r="A362" t="s">
        <v>26</v>
      </c>
      <c r="B362" t="s">
        <v>27</v>
      </c>
      <c r="C362" t="s">
        <v>28</v>
      </c>
      <c r="D362" t="s">
        <v>29</v>
      </c>
      <c r="E362" t="s">
        <v>30</v>
      </c>
      <c r="F362" s="1">
        <v>45658</v>
      </c>
      <c r="G362" t="s">
        <v>16</v>
      </c>
      <c r="H362" s="2">
        <v>567702.59</v>
      </c>
      <c r="I362" s="2">
        <v>556779.98</v>
      </c>
      <c r="J362" s="2">
        <v>574811.36</v>
      </c>
      <c r="K362" s="2">
        <v>562530.5</v>
      </c>
      <c r="L362" s="2">
        <f t="shared" si="20"/>
        <v>-10922.609999999986</v>
      </c>
      <c r="M362" s="4">
        <f t="shared" si="21"/>
        <v>-1.9240021434462694E-2</v>
      </c>
      <c r="N362" s="2">
        <f t="shared" si="22"/>
        <v>18031.380000000005</v>
      </c>
      <c r="O362" s="6">
        <f t="shared" si="23"/>
        <v>1.0323851083869791</v>
      </c>
    </row>
    <row r="363" spans="1:15" x14ac:dyDescent="0.2">
      <c r="A363" t="s">
        <v>26</v>
      </c>
      <c r="B363" t="s">
        <v>27</v>
      </c>
      <c r="C363" t="s">
        <v>28</v>
      </c>
      <c r="D363" t="s">
        <v>29</v>
      </c>
      <c r="E363" t="s">
        <v>30</v>
      </c>
      <c r="F363" s="1">
        <v>45658</v>
      </c>
      <c r="G363" t="s">
        <v>17</v>
      </c>
      <c r="H363" s="2">
        <v>462788.64</v>
      </c>
      <c r="I363" s="2">
        <v>531122.54</v>
      </c>
      <c r="J363" s="2">
        <v>473544.43</v>
      </c>
      <c r="K363" s="2">
        <v>510000.31</v>
      </c>
      <c r="L363" s="2">
        <f t="shared" si="20"/>
        <v>68333.900000000023</v>
      </c>
      <c r="M363" s="4">
        <f t="shared" si="21"/>
        <v>0.14765682234550964</v>
      </c>
      <c r="N363" s="2">
        <f t="shared" si="22"/>
        <v>-57578.110000000044</v>
      </c>
      <c r="O363" s="6">
        <f t="shared" si="23"/>
        <v>0.89159166545633695</v>
      </c>
    </row>
    <row r="364" spans="1:15" x14ac:dyDescent="0.2">
      <c r="A364" t="s">
        <v>26</v>
      </c>
      <c r="B364" t="s">
        <v>27</v>
      </c>
      <c r="C364" t="s">
        <v>28</v>
      </c>
      <c r="D364" t="s">
        <v>29</v>
      </c>
      <c r="E364" t="s">
        <v>30</v>
      </c>
      <c r="F364" s="1">
        <v>45658</v>
      </c>
      <c r="G364" t="s">
        <v>18</v>
      </c>
      <c r="H364" s="2">
        <v>346859.3</v>
      </c>
      <c r="I364" s="2">
        <v>369488.72</v>
      </c>
      <c r="J364" s="2">
        <v>342740.07</v>
      </c>
      <c r="K364" s="2">
        <v>367001.93</v>
      </c>
      <c r="L364" s="2">
        <f t="shared" si="20"/>
        <v>22629.419999999984</v>
      </c>
      <c r="M364" s="4">
        <f t="shared" si="21"/>
        <v>6.5240920453913109E-2</v>
      </c>
      <c r="N364" s="2">
        <f t="shared" si="22"/>
        <v>-26748.649999999965</v>
      </c>
      <c r="O364" s="6">
        <f t="shared" si="23"/>
        <v>0.9276063150182231</v>
      </c>
    </row>
    <row r="365" spans="1:15" x14ac:dyDescent="0.2">
      <c r="A365" t="s">
        <v>26</v>
      </c>
      <c r="B365" t="s">
        <v>27</v>
      </c>
      <c r="C365" t="s">
        <v>28</v>
      </c>
      <c r="D365" t="s">
        <v>29</v>
      </c>
      <c r="E365" t="s">
        <v>30</v>
      </c>
      <c r="F365" s="1">
        <v>45658</v>
      </c>
      <c r="G365" t="s">
        <v>19</v>
      </c>
      <c r="H365" s="2">
        <v>257392.65</v>
      </c>
      <c r="I365" s="2">
        <v>248868.94</v>
      </c>
      <c r="J365" s="2">
        <v>252760.93</v>
      </c>
      <c r="K365" s="2">
        <v>250961.78</v>
      </c>
      <c r="L365" s="2">
        <f t="shared" si="20"/>
        <v>-8523.7099999999919</v>
      </c>
      <c r="M365" s="4">
        <f t="shared" si="21"/>
        <v>-3.3115592073044792E-2</v>
      </c>
      <c r="N365" s="2">
        <f t="shared" si="22"/>
        <v>3891.9899999999907</v>
      </c>
      <c r="O365" s="6">
        <f t="shared" si="23"/>
        <v>1.0156387132922251</v>
      </c>
    </row>
    <row r="366" spans="1:15" x14ac:dyDescent="0.2">
      <c r="A366" t="s">
        <v>26</v>
      </c>
      <c r="B366" t="s">
        <v>27</v>
      </c>
      <c r="C366" t="s">
        <v>28</v>
      </c>
      <c r="D366" t="s">
        <v>29</v>
      </c>
      <c r="E366" t="s">
        <v>30</v>
      </c>
      <c r="F366" s="1">
        <v>45658</v>
      </c>
      <c r="G366" t="s">
        <v>20</v>
      </c>
      <c r="H366" s="2">
        <v>60247.49</v>
      </c>
      <c r="I366" s="2">
        <v>62181.58</v>
      </c>
      <c r="J366" s="2">
        <v>59013.88</v>
      </c>
      <c r="K366" s="2">
        <v>60842.17</v>
      </c>
      <c r="L366" s="2">
        <f t="shared" si="20"/>
        <v>1934.0900000000038</v>
      </c>
      <c r="M366" s="4">
        <f t="shared" si="21"/>
        <v>3.210241621684163E-2</v>
      </c>
      <c r="N366" s="2">
        <f t="shared" si="22"/>
        <v>-3167.7000000000044</v>
      </c>
      <c r="O366" s="6">
        <f t="shared" si="23"/>
        <v>0.94905726100880672</v>
      </c>
    </row>
    <row r="367" spans="1:15" x14ac:dyDescent="0.2">
      <c r="A367" t="s">
        <v>26</v>
      </c>
      <c r="B367" t="s">
        <v>27</v>
      </c>
      <c r="C367" t="s">
        <v>28</v>
      </c>
      <c r="D367" t="s">
        <v>29</v>
      </c>
      <c r="E367" t="s">
        <v>30</v>
      </c>
      <c r="F367" s="1">
        <v>45658</v>
      </c>
      <c r="G367" t="s">
        <v>21</v>
      </c>
      <c r="H367" s="2">
        <v>94664.86</v>
      </c>
      <c r="I367" s="2">
        <v>97515.63</v>
      </c>
      <c r="J367" s="2">
        <v>93296.45</v>
      </c>
      <c r="K367" s="2">
        <v>95645.21</v>
      </c>
      <c r="L367" s="2">
        <f t="shared" si="20"/>
        <v>2850.7700000000041</v>
      </c>
      <c r="M367" s="4">
        <f t="shared" si="21"/>
        <v>3.0114342323011981E-2</v>
      </c>
      <c r="N367" s="2">
        <f t="shared" si="22"/>
        <v>-4219.1800000000076</v>
      </c>
      <c r="O367" s="6">
        <f t="shared" si="23"/>
        <v>0.95673329495999759</v>
      </c>
    </row>
    <row r="368" spans="1:15" x14ac:dyDescent="0.2">
      <c r="A368" t="s">
        <v>26</v>
      </c>
      <c r="B368" t="s">
        <v>27</v>
      </c>
      <c r="C368" t="s">
        <v>28</v>
      </c>
      <c r="D368" t="s">
        <v>29</v>
      </c>
      <c r="E368" t="s">
        <v>30</v>
      </c>
      <c r="F368" s="1">
        <v>45689</v>
      </c>
      <c r="G368" t="s">
        <v>16</v>
      </c>
      <c r="H368" s="2">
        <v>586512.81999999995</v>
      </c>
      <c r="I368" s="2">
        <v>583929.18999999994</v>
      </c>
      <c r="J368" s="2">
        <v>601340.73</v>
      </c>
      <c r="K368" s="2">
        <v>591846.09</v>
      </c>
      <c r="L368" s="2">
        <f t="shared" si="20"/>
        <v>-2583.6300000000047</v>
      </c>
      <c r="M368" s="4">
        <f t="shared" si="21"/>
        <v>-4.4050699522646493E-3</v>
      </c>
      <c r="N368" s="2">
        <f t="shared" si="22"/>
        <v>17411.540000000037</v>
      </c>
      <c r="O368" s="6">
        <f t="shared" si="23"/>
        <v>1.0298178962418372</v>
      </c>
    </row>
    <row r="369" spans="1:15" x14ac:dyDescent="0.2">
      <c r="A369" t="s">
        <v>26</v>
      </c>
      <c r="B369" t="s">
        <v>27</v>
      </c>
      <c r="C369" t="s">
        <v>28</v>
      </c>
      <c r="D369" t="s">
        <v>29</v>
      </c>
      <c r="E369" t="s">
        <v>30</v>
      </c>
      <c r="F369" s="1">
        <v>45689</v>
      </c>
      <c r="G369" t="s">
        <v>17</v>
      </c>
      <c r="H369" s="2">
        <v>467230.25</v>
      </c>
      <c r="I369" s="2">
        <v>526108.78</v>
      </c>
      <c r="J369" s="2">
        <v>462937.21</v>
      </c>
      <c r="K369" s="2">
        <v>512689.68</v>
      </c>
      <c r="L369" s="2">
        <f t="shared" si="20"/>
        <v>58878.530000000028</v>
      </c>
      <c r="M369" s="4">
        <f t="shared" si="21"/>
        <v>0.12601609163790237</v>
      </c>
      <c r="N369" s="2">
        <f t="shared" si="22"/>
        <v>-63171.570000000007</v>
      </c>
      <c r="O369" s="6">
        <f t="shared" si="23"/>
        <v>0.87992679004520702</v>
      </c>
    </row>
    <row r="370" spans="1:15" x14ac:dyDescent="0.2">
      <c r="A370" t="s">
        <v>26</v>
      </c>
      <c r="B370" t="s">
        <v>27</v>
      </c>
      <c r="C370" t="s">
        <v>28</v>
      </c>
      <c r="D370" t="s">
        <v>29</v>
      </c>
      <c r="E370" t="s">
        <v>30</v>
      </c>
      <c r="F370" s="1">
        <v>45689</v>
      </c>
      <c r="G370" t="s">
        <v>18</v>
      </c>
      <c r="H370" s="2">
        <v>368380.92</v>
      </c>
      <c r="I370" s="2">
        <v>385790.51</v>
      </c>
      <c r="J370" s="2">
        <v>376181.4</v>
      </c>
      <c r="K370" s="2">
        <v>385152.44</v>
      </c>
      <c r="L370" s="2">
        <f t="shared" si="20"/>
        <v>17409.590000000026</v>
      </c>
      <c r="M370" s="4">
        <f t="shared" si="21"/>
        <v>4.7259749500598532E-2</v>
      </c>
      <c r="N370" s="2">
        <f t="shared" si="22"/>
        <v>-9609.109999999986</v>
      </c>
      <c r="O370" s="6">
        <f t="shared" si="23"/>
        <v>0.97509241479268116</v>
      </c>
    </row>
    <row r="371" spans="1:15" x14ac:dyDescent="0.2">
      <c r="A371" t="s">
        <v>26</v>
      </c>
      <c r="B371" t="s">
        <v>27</v>
      </c>
      <c r="C371" t="s">
        <v>28</v>
      </c>
      <c r="D371" t="s">
        <v>29</v>
      </c>
      <c r="E371" t="s">
        <v>30</v>
      </c>
      <c r="F371" s="1">
        <v>45689</v>
      </c>
      <c r="G371" t="s">
        <v>19</v>
      </c>
      <c r="H371" s="2">
        <v>258637.35</v>
      </c>
      <c r="I371" s="2">
        <v>255124.57</v>
      </c>
      <c r="J371" s="2">
        <v>257465.75</v>
      </c>
      <c r="K371" s="2">
        <v>258843.29</v>
      </c>
      <c r="L371" s="2">
        <f t="shared" si="20"/>
        <v>-3512.7799999999988</v>
      </c>
      <c r="M371" s="4">
        <f t="shared" si="21"/>
        <v>-1.358187438898519E-2</v>
      </c>
      <c r="N371" s="2">
        <f t="shared" si="22"/>
        <v>2341.179999999993</v>
      </c>
      <c r="O371" s="6">
        <f t="shared" si="23"/>
        <v>1.009176615172737</v>
      </c>
    </row>
    <row r="372" spans="1:15" x14ac:dyDescent="0.2">
      <c r="A372" t="s">
        <v>26</v>
      </c>
      <c r="B372" t="s">
        <v>27</v>
      </c>
      <c r="C372" t="s">
        <v>28</v>
      </c>
      <c r="D372" t="s">
        <v>29</v>
      </c>
      <c r="E372" t="s">
        <v>30</v>
      </c>
      <c r="F372" s="1">
        <v>45689</v>
      </c>
      <c r="G372" t="s">
        <v>20</v>
      </c>
      <c r="H372" s="2">
        <v>61735.79</v>
      </c>
      <c r="I372" s="2">
        <v>62841.83</v>
      </c>
      <c r="J372" s="2">
        <v>61081.93</v>
      </c>
      <c r="K372" s="2">
        <v>62274.46</v>
      </c>
      <c r="L372" s="2">
        <f t="shared" si="20"/>
        <v>1106.0400000000009</v>
      </c>
      <c r="M372" s="4">
        <f t="shared" si="21"/>
        <v>1.7915701734763593E-2</v>
      </c>
      <c r="N372" s="2">
        <f t="shared" si="22"/>
        <v>-1759.9000000000015</v>
      </c>
      <c r="O372" s="6">
        <f t="shared" si="23"/>
        <v>0.97199476845279642</v>
      </c>
    </row>
    <row r="373" spans="1:15" x14ac:dyDescent="0.2">
      <c r="A373" t="s">
        <v>26</v>
      </c>
      <c r="B373" t="s">
        <v>27</v>
      </c>
      <c r="C373" t="s">
        <v>28</v>
      </c>
      <c r="D373" t="s">
        <v>29</v>
      </c>
      <c r="E373" t="s">
        <v>30</v>
      </c>
      <c r="F373" s="1">
        <v>45689</v>
      </c>
      <c r="G373" t="s">
        <v>21</v>
      </c>
      <c r="H373" s="2">
        <v>93162.13</v>
      </c>
      <c r="I373" s="2">
        <v>96412.07</v>
      </c>
      <c r="J373" s="2">
        <v>92652.66</v>
      </c>
      <c r="K373" s="2">
        <v>95968.82</v>
      </c>
      <c r="L373" s="2">
        <f t="shared" si="20"/>
        <v>3249.9400000000023</v>
      </c>
      <c r="M373" s="4">
        <f t="shared" si="21"/>
        <v>3.4884775605710197E-2</v>
      </c>
      <c r="N373" s="2">
        <f t="shared" si="22"/>
        <v>-3759.4100000000035</v>
      </c>
      <c r="O373" s="6">
        <f t="shared" si="23"/>
        <v>0.96100685318757284</v>
      </c>
    </row>
    <row r="374" spans="1:15" x14ac:dyDescent="0.2">
      <c r="A374" t="s">
        <v>26</v>
      </c>
      <c r="B374" t="s">
        <v>27</v>
      </c>
      <c r="C374" t="s">
        <v>28</v>
      </c>
      <c r="D374" t="s">
        <v>29</v>
      </c>
      <c r="E374" t="s">
        <v>30</v>
      </c>
      <c r="F374" s="1">
        <v>45717</v>
      </c>
      <c r="G374" t="s">
        <v>16</v>
      </c>
      <c r="H374" s="2">
        <v>571901</v>
      </c>
      <c r="I374" s="2">
        <v>584964.1</v>
      </c>
      <c r="J374" s="2">
        <v>577759.32999999996</v>
      </c>
      <c r="K374" s="2">
        <v>583281.47</v>
      </c>
      <c r="L374" s="2">
        <f t="shared" si="20"/>
        <v>13063.099999999977</v>
      </c>
      <c r="M374" s="4">
        <f t="shared" si="21"/>
        <v>2.2841540756179786E-2</v>
      </c>
      <c r="N374" s="2">
        <f t="shared" si="22"/>
        <v>-7204.7700000000186</v>
      </c>
      <c r="O374" s="6">
        <f t="shared" si="23"/>
        <v>0.98768339800681781</v>
      </c>
    </row>
    <row r="375" spans="1:15" x14ac:dyDescent="0.2">
      <c r="A375" t="s">
        <v>26</v>
      </c>
      <c r="B375" t="s">
        <v>27</v>
      </c>
      <c r="C375" t="s">
        <v>28</v>
      </c>
      <c r="D375" t="s">
        <v>29</v>
      </c>
      <c r="E375" t="s">
        <v>30</v>
      </c>
      <c r="F375" s="1">
        <v>45717</v>
      </c>
      <c r="G375" t="s">
        <v>17</v>
      </c>
      <c r="H375" s="2">
        <v>454914.67</v>
      </c>
      <c r="I375" s="2">
        <v>508892.43</v>
      </c>
      <c r="J375" s="2">
        <v>466906.75</v>
      </c>
      <c r="K375" s="2">
        <v>491328.08</v>
      </c>
      <c r="L375" s="2">
        <f t="shared" si="20"/>
        <v>53977.760000000009</v>
      </c>
      <c r="M375" s="4">
        <f t="shared" si="21"/>
        <v>0.11865469187880885</v>
      </c>
      <c r="N375" s="2">
        <f t="shared" si="22"/>
        <v>-41985.679999999993</v>
      </c>
      <c r="O375" s="6">
        <f t="shared" si="23"/>
        <v>0.91749596275189238</v>
      </c>
    </row>
    <row r="376" spans="1:15" x14ac:dyDescent="0.2">
      <c r="A376" t="s">
        <v>26</v>
      </c>
      <c r="B376" t="s">
        <v>27</v>
      </c>
      <c r="C376" t="s">
        <v>28</v>
      </c>
      <c r="D376" t="s">
        <v>29</v>
      </c>
      <c r="E376" t="s">
        <v>30</v>
      </c>
      <c r="F376" s="1">
        <v>45717</v>
      </c>
      <c r="G376" t="s">
        <v>18</v>
      </c>
      <c r="H376" s="2">
        <v>372074.34</v>
      </c>
      <c r="I376" s="2">
        <v>394764.53</v>
      </c>
      <c r="J376" s="2">
        <v>374874.42</v>
      </c>
      <c r="K376" s="2">
        <v>386352.3</v>
      </c>
      <c r="L376" s="2">
        <f t="shared" si="20"/>
        <v>22690.190000000002</v>
      </c>
      <c r="M376" s="4">
        <f t="shared" si="21"/>
        <v>6.0982947655030449E-2</v>
      </c>
      <c r="N376" s="2">
        <f t="shared" si="22"/>
        <v>-19890.110000000044</v>
      </c>
      <c r="O376" s="6">
        <f t="shared" si="23"/>
        <v>0.94961525545367498</v>
      </c>
    </row>
    <row r="377" spans="1:15" x14ac:dyDescent="0.2">
      <c r="A377" t="s">
        <v>26</v>
      </c>
      <c r="B377" t="s">
        <v>27</v>
      </c>
      <c r="C377" t="s">
        <v>28</v>
      </c>
      <c r="D377" t="s">
        <v>29</v>
      </c>
      <c r="E377" t="s">
        <v>30</v>
      </c>
      <c r="F377" s="1">
        <v>45717</v>
      </c>
      <c r="G377" t="s">
        <v>19</v>
      </c>
      <c r="H377" s="2">
        <v>272206.25</v>
      </c>
      <c r="I377" s="2">
        <v>275849.48</v>
      </c>
      <c r="J377" s="2">
        <v>276121.99</v>
      </c>
      <c r="K377" s="2">
        <v>274463.43</v>
      </c>
      <c r="L377" s="2">
        <f t="shared" si="20"/>
        <v>3643.2299999999814</v>
      </c>
      <c r="M377" s="4">
        <f t="shared" si="21"/>
        <v>1.3384079167910293E-2</v>
      </c>
      <c r="N377" s="2">
        <f t="shared" si="22"/>
        <v>272.51000000000931</v>
      </c>
      <c r="O377" s="6">
        <f t="shared" si="23"/>
        <v>1.0009878938325352</v>
      </c>
    </row>
    <row r="378" spans="1:15" x14ac:dyDescent="0.2">
      <c r="A378" t="s">
        <v>26</v>
      </c>
      <c r="B378" t="s">
        <v>27</v>
      </c>
      <c r="C378" t="s">
        <v>28</v>
      </c>
      <c r="D378" t="s">
        <v>29</v>
      </c>
      <c r="E378" t="s">
        <v>30</v>
      </c>
      <c r="F378" s="1">
        <v>45717</v>
      </c>
      <c r="G378" t="s">
        <v>20</v>
      </c>
      <c r="H378" s="2">
        <v>64545.09</v>
      </c>
      <c r="I378" s="2">
        <v>64505.14</v>
      </c>
      <c r="J378" s="2">
        <v>64833.66</v>
      </c>
      <c r="K378" s="2">
        <v>64683.62</v>
      </c>
      <c r="L378" s="2">
        <f t="shared" si="20"/>
        <v>-39.94999999999709</v>
      </c>
      <c r="M378" s="4">
        <f t="shared" si="21"/>
        <v>-6.1894715771559222E-4</v>
      </c>
      <c r="N378" s="2">
        <f t="shared" si="22"/>
        <v>328.52000000000407</v>
      </c>
      <c r="O378" s="6">
        <f t="shared" si="23"/>
        <v>1.0050929274783373</v>
      </c>
    </row>
    <row r="379" spans="1:15" x14ac:dyDescent="0.2">
      <c r="A379" t="s">
        <v>26</v>
      </c>
      <c r="B379" t="s">
        <v>27</v>
      </c>
      <c r="C379" t="s">
        <v>28</v>
      </c>
      <c r="D379" t="s">
        <v>29</v>
      </c>
      <c r="E379" t="s">
        <v>30</v>
      </c>
      <c r="F379" s="1">
        <v>45717</v>
      </c>
      <c r="G379" t="s">
        <v>21</v>
      </c>
      <c r="H379" s="2">
        <v>94650.38</v>
      </c>
      <c r="I379" s="2">
        <v>94209.25</v>
      </c>
      <c r="J379" s="2">
        <v>97392.61</v>
      </c>
      <c r="K379" s="2">
        <v>93522.75</v>
      </c>
      <c r="L379" s="2">
        <f t="shared" si="20"/>
        <v>-441.13000000000466</v>
      </c>
      <c r="M379" s="4">
        <f t="shared" si="21"/>
        <v>-4.6606257682220041E-3</v>
      </c>
      <c r="N379" s="2">
        <f t="shared" si="22"/>
        <v>3183.3600000000006</v>
      </c>
      <c r="O379" s="6">
        <f t="shared" si="23"/>
        <v>1.0337903125223904</v>
      </c>
    </row>
    <row r="380" spans="1:15" x14ac:dyDescent="0.2">
      <c r="A380" t="s">
        <v>26</v>
      </c>
      <c r="B380" t="s">
        <v>27</v>
      </c>
      <c r="C380" t="s">
        <v>28</v>
      </c>
      <c r="D380" t="s">
        <v>29</v>
      </c>
      <c r="E380" t="s">
        <v>30</v>
      </c>
      <c r="F380" s="1">
        <v>45748</v>
      </c>
      <c r="G380" t="s">
        <v>16</v>
      </c>
      <c r="H380" s="2">
        <v>569503.25</v>
      </c>
      <c r="I380" s="2">
        <v>577692.94999999995</v>
      </c>
      <c r="J380" s="2">
        <v>563364.18999999994</v>
      </c>
      <c r="K380" s="2">
        <v>576451.94999999995</v>
      </c>
      <c r="L380" s="2">
        <f t="shared" si="20"/>
        <v>8189.6999999999534</v>
      </c>
      <c r="M380" s="4">
        <f t="shared" si="21"/>
        <v>1.4380427152961731E-2</v>
      </c>
      <c r="N380" s="2">
        <f t="shared" si="22"/>
        <v>-14328.760000000009</v>
      </c>
      <c r="O380" s="6">
        <f t="shared" si="23"/>
        <v>0.97519658150579813</v>
      </c>
    </row>
    <row r="381" spans="1:15" x14ac:dyDescent="0.2">
      <c r="A381" t="s">
        <v>26</v>
      </c>
      <c r="B381" t="s">
        <v>27</v>
      </c>
      <c r="C381" t="s">
        <v>28</v>
      </c>
      <c r="D381" t="s">
        <v>29</v>
      </c>
      <c r="E381" t="s">
        <v>30</v>
      </c>
      <c r="F381" s="1">
        <v>45748</v>
      </c>
      <c r="G381" t="s">
        <v>17</v>
      </c>
      <c r="H381" s="2">
        <v>458797.6</v>
      </c>
      <c r="I381" s="2">
        <v>527307.37</v>
      </c>
      <c r="J381" s="2">
        <v>451124.19</v>
      </c>
      <c r="K381" s="2">
        <v>509662.81</v>
      </c>
      <c r="L381" s="2">
        <f t="shared" si="20"/>
        <v>68509.770000000019</v>
      </c>
      <c r="M381" s="4">
        <f t="shared" si="21"/>
        <v>0.14932460413916729</v>
      </c>
      <c r="N381" s="2">
        <f t="shared" si="22"/>
        <v>-76183.179999999993</v>
      </c>
      <c r="O381" s="6">
        <f t="shared" si="23"/>
        <v>0.85552415093306966</v>
      </c>
    </row>
    <row r="382" spans="1:15" x14ac:dyDescent="0.2">
      <c r="A382" t="s">
        <v>26</v>
      </c>
      <c r="B382" t="s">
        <v>27</v>
      </c>
      <c r="C382" t="s">
        <v>28</v>
      </c>
      <c r="D382" t="s">
        <v>29</v>
      </c>
      <c r="E382" t="s">
        <v>30</v>
      </c>
      <c r="F382" s="1">
        <v>45748</v>
      </c>
      <c r="G382" t="s">
        <v>18</v>
      </c>
      <c r="H382" s="2">
        <v>381702.18</v>
      </c>
      <c r="I382" s="2">
        <v>396869.99</v>
      </c>
      <c r="J382" s="2">
        <v>391691.83</v>
      </c>
      <c r="K382" s="2">
        <v>394907.4</v>
      </c>
      <c r="L382" s="2">
        <f t="shared" si="20"/>
        <v>15167.809999999998</v>
      </c>
      <c r="M382" s="4">
        <f t="shared" si="21"/>
        <v>3.9737289422868895E-2</v>
      </c>
      <c r="N382" s="2">
        <f t="shared" si="22"/>
        <v>-5178.1599999999744</v>
      </c>
      <c r="O382" s="6">
        <f t="shared" si="23"/>
        <v>0.98695250300986481</v>
      </c>
    </row>
    <row r="383" spans="1:15" x14ac:dyDescent="0.2">
      <c r="A383" t="s">
        <v>26</v>
      </c>
      <c r="B383" t="s">
        <v>27</v>
      </c>
      <c r="C383" t="s">
        <v>28</v>
      </c>
      <c r="D383" t="s">
        <v>29</v>
      </c>
      <c r="E383" t="s">
        <v>30</v>
      </c>
      <c r="F383" s="1">
        <v>45748</v>
      </c>
      <c r="G383" t="s">
        <v>19</v>
      </c>
      <c r="H383" s="2">
        <v>264043.90999999997</v>
      </c>
      <c r="I383" s="2">
        <v>272610.59999999998</v>
      </c>
      <c r="J383" s="2">
        <v>267592.27</v>
      </c>
      <c r="K383" s="2">
        <v>269709.5</v>
      </c>
      <c r="L383" s="2">
        <f t="shared" si="20"/>
        <v>8566.6900000000023</v>
      </c>
      <c r="M383" s="4">
        <f t="shared" si="21"/>
        <v>3.244418702934676E-2</v>
      </c>
      <c r="N383" s="2">
        <f t="shared" si="22"/>
        <v>-5018.3299999999581</v>
      </c>
      <c r="O383" s="6">
        <f t="shared" si="23"/>
        <v>0.98159158154525183</v>
      </c>
    </row>
    <row r="384" spans="1:15" x14ac:dyDescent="0.2">
      <c r="A384" t="s">
        <v>26</v>
      </c>
      <c r="B384" t="s">
        <v>27</v>
      </c>
      <c r="C384" t="s">
        <v>28</v>
      </c>
      <c r="D384" t="s">
        <v>29</v>
      </c>
      <c r="E384" t="s">
        <v>30</v>
      </c>
      <c r="F384" s="1">
        <v>45748</v>
      </c>
      <c r="G384" t="s">
        <v>20</v>
      </c>
      <c r="H384" s="2">
        <v>62363.77</v>
      </c>
      <c r="I384" s="2">
        <v>64218.84</v>
      </c>
      <c r="J384" s="2">
        <v>63834.400000000001</v>
      </c>
      <c r="K384" s="2">
        <v>63389.51</v>
      </c>
      <c r="L384" s="2">
        <f t="shared" si="20"/>
        <v>1855.0699999999997</v>
      </c>
      <c r="M384" s="4">
        <f t="shared" si="21"/>
        <v>2.9745956666827549E-2</v>
      </c>
      <c r="N384" s="2">
        <f t="shared" si="22"/>
        <v>-384.43999999999505</v>
      </c>
      <c r="O384" s="6">
        <f t="shared" si="23"/>
        <v>0.99401359476440254</v>
      </c>
    </row>
    <row r="385" spans="1:15" x14ac:dyDescent="0.2">
      <c r="A385" t="s">
        <v>26</v>
      </c>
      <c r="B385" t="s">
        <v>27</v>
      </c>
      <c r="C385" t="s">
        <v>28</v>
      </c>
      <c r="D385" t="s">
        <v>29</v>
      </c>
      <c r="E385" t="s">
        <v>30</v>
      </c>
      <c r="F385" s="1">
        <v>45748</v>
      </c>
      <c r="G385" t="s">
        <v>21</v>
      </c>
      <c r="H385" s="2">
        <v>99447.74</v>
      </c>
      <c r="I385" s="2">
        <v>96380.03</v>
      </c>
      <c r="J385" s="2">
        <v>97092.74</v>
      </c>
      <c r="K385" s="2">
        <v>99241.35</v>
      </c>
      <c r="L385" s="2">
        <f t="shared" si="20"/>
        <v>-3067.7100000000064</v>
      </c>
      <c r="M385" s="4">
        <f t="shared" si="21"/>
        <v>-3.084745817250353E-2</v>
      </c>
      <c r="N385" s="2">
        <f t="shared" si="22"/>
        <v>712.7100000000064</v>
      </c>
      <c r="O385" s="6">
        <f t="shared" si="23"/>
        <v>1.007394789148748</v>
      </c>
    </row>
    <row r="386" spans="1:15" x14ac:dyDescent="0.2">
      <c r="A386" t="s">
        <v>26</v>
      </c>
      <c r="B386" t="s">
        <v>27</v>
      </c>
      <c r="C386" t="s">
        <v>28</v>
      </c>
      <c r="D386" t="s">
        <v>29</v>
      </c>
      <c r="E386" t="s">
        <v>30</v>
      </c>
      <c r="F386" s="1">
        <v>45778</v>
      </c>
      <c r="G386" t="s">
        <v>16</v>
      </c>
      <c r="H386" s="2">
        <v>613342.93999999994</v>
      </c>
      <c r="I386" s="2">
        <v>613490.79</v>
      </c>
      <c r="J386" s="2">
        <v>609205.74</v>
      </c>
      <c r="K386" s="2">
        <v>615416.34</v>
      </c>
      <c r="L386" s="2">
        <f t="shared" ref="L386:L449" si="24">I386-H386</f>
        <v>147.85000000009313</v>
      </c>
      <c r="M386" s="4">
        <f t="shared" ref="M386:M449" si="25">L386/H386</f>
        <v>2.4105600693813016E-4</v>
      </c>
      <c r="N386" s="2">
        <f t="shared" ref="N386:N449" si="26">J386-I386</f>
        <v>-4285.0500000000466</v>
      </c>
      <c r="O386" s="6">
        <f t="shared" ref="O386:O449" si="27">J386/I386</f>
        <v>0.99301529856707382</v>
      </c>
    </row>
    <row r="387" spans="1:15" x14ac:dyDescent="0.2">
      <c r="A387" t="s">
        <v>26</v>
      </c>
      <c r="B387" t="s">
        <v>27</v>
      </c>
      <c r="C387" t="s">
        <v>28</v>
      </c>
      <c r="D387" t="s">
        <v>29</v>
      </c>
      <c r="E387" t="s">
        <v>30</v>
      </c>
      <c r="F387" s="1">
        <v>45778</v>
      </c>
      <c r="G387" t="s">
        <v>17</v>
      </c>
      <c r="H387" s="2">
        <v>455601.44</v>
      </c>
      <c r="I387" s="2">
        <v>507422.89</v>
      </c>
      <c r="J387" s="2">
        <v>453227.91</v>
      </c>
      <c r="K387" s="2">
        <v>489518.43</v>
      </c>
      <c r="L387" s="2">
        <f t="shared" si="24"/>
        <v>51821.450000000012</v>
      </c>
      <c r="M387" s="4">
        <f t="shared" si="25"/>
        <v>0.11374294602756306</v>
      </c>
      <c r="N387" s="2">
        <f t="shared" si="26"/>
        <v>-54194.98000000004</v>
      </c>
      <c r="O387" s="6">
        <f t="shared" si="27"/>
        <v>0.89319563411891012</v>
      </c>
    </row>
    <row r="388" spans="1:15" x14ac:dyDescent="0.2">
      <c r="A388" t="s">
        <v>26</v>
      </c>
      <c r="B388" t="s">
        <v>27</v>
      </c>
      <c r="C388" t="s">
        <v>28</v>
      </c>
      <c r="D388" t="s">
        <v>29</v>
      </c>
      <c r="E388" t="s">
        <v>30</v>
      </c>
      <c r="F388" s="1">
        <v>45778</v>
      </c>
      <c r="G388" t="s">
        <v>18</v>
      </c>
      <c r="H388" s="2">
        <v>357020.76</v>
      </c>
      <c r="I388" s="2">
        <v>385014.47</v>
      </c>
      <c r="J388" s="2">
        <v>349860.08</v>
      </c>
      <c r="K388" s="2">
        <v>374519.69</v>
      </c>
      <c r="L388" s="2">
        <f t="shared" si="24"/>
        <v>27993.709999999963</v>
      </c>
      <c r="M388" s="4">
        <f t="shared" si="25"/>
        <v>7.8409193907939587E-2</v>
      </c>
      <c r="N388" s="2">
        <f t="shared" si="26"/>
        <v>-35154.389999999956</v>
      </c>
      <c r="O388" s="6">
        <f t="shared" si="27"/>
        <v>0.90869332781180934</v>
      </c>
    </row>
    <row r="389" spans="1:15" x14ac:dyDescent="0.2">
      <c r="A389" t="s">
        <v>26</v>
      </c>
      <c r="B389" t="s">
        <v>27</v>
      </c>
      <c r="C389" t="s">
        <v>28</v>
      </c>
      <c r="D389" t="s">
        <v>29</v>
      </c>
      <c r="E389" t="s">
        <v>30</v>
      </c>
      <c r="F389" s="1">
        <v>45778</v>
      </c>
      <c r="G389" t="s">
        <v>19</v>
      </c>
      <c r="H389" s="2">
        <v>277822.09999999998</v>
      </c>
      <c r="I389" s="2">
        <v>285111.09999999998</v>
      </c>
      <c r="J389" s="2">
        <v>276050.36</v>
      </c>
      <c r="K389" s="2">
        <v>285782.74</v>
      </c>
      <c r="L389" s="2">
        <f t="shared" si="24"/>
        <v>7289</v>
      </c>
      <c r="M389" s="4">
        <f t="shared" si="25"/>
        <v>2.6236213749734096E-2</v>
      </c>
      <c r="N389" s="2">
        <f t="shared" si="26"/>
        <v>-9060.7399999999907</v>
      </c>
      <c r="O389" s="6">
        <f t="shared" si="27"/>
        <v>0.96822031832503197</v>
      </c>
    </row>
    <row r="390" spans="1:15" x14ac:dyDescent="0.2">
      <c r="A390" t="s">
        <v>26</v>
      </c>
      <c r="B390" t="s">
        <v>27</v>
      </c>
      <c r="C390" t="s">
        <v>28</v>
      </c>
      <c r="D390" t="s">
        <v>29</v>
      </c>
      <c r="E390" t="s">
        <v>30</v>
      </c>
      <c r="F390" s="1">
        <v>45778</v>
      </c>
      <c r="G390" t="s">
        <v>20</v>
      </c>
      <c r="H390" s="2">
        <v>66316.600000000006</v>
      </c>
      <c r="I390" s="2">
        <v>68528.33</v>
      </c>
      <c r="J390" s="2">
        <v>67459.179999999993</v>
      </c>
      <c r="K390" s="2">
        <v>67189.95</v>
      </c>
      <c r="L390" s="2">
        <f t="shared" si="24"/>
        <v>2211.7299999999959</v>
      </c>
      <c r="M390" s="4">
        <f t="shared" si="25"/>
        <v>3.3351076502715696E-2</v>
      </c>
      <c r="N390" s="2">
        <f t="shared" si="26"/>
        <v>-1069.1500000000087</v>
      </c>
      <c r="O390" s="6">
        <f t="shared" si="27"/>
        <v>0.98439842325064675</v>
      </c>
    </row>
    <row r="391" spans="1:15" x14ac:dyDescent="0.2">
      <c r="A391" t="s">
        <v>26</v>
      </c>
      <c r="B391" t="s">
        <v>27</v>
      </c>
      <c r="C391" t="s">
        <v>28</v>
      </c>
      <c r="D391" t="s">
        <v>29</v>
      </c>
      <c r="E391" t="s">
        <v>30</v>
      </c>
      <c r="F391" s="1">
        <v>45778</v>
      </c>
      <c r="G391" t="s">
        <v>21</v>
      </c>
      <c r="H391" s="2">
        <v>96942.18</v>
      </c>
      <c r="I391" s="2">
        <v>97633.27</v>
      </c>
      <c r="J391" s="2">
        <v>94704.39</v>
      </c>
      <c r="K391" s="2">
        <v>98618.82</v>
      </c>
      <c r="L391" s="2">
        <f t="shared" si="24"/>
        <v>691.09000000001106</v>
      </c>
      <c r="M391" s="4">
        <f t="shared" si="25"/>
        <v>7.1288885808015777E-3</v>
      </c>
      <c r="N391" s="2">
        <f t="shared" si="26"/>
        <v>-2928.8800000000047</v>
      </c>
      <c r="O391" s="6">
        <f t="shared" si="27"/>
        <v>0.970001209628644</v>
      </c>
    </row>
    <row r="392" spans="1:15" x14ac:dyDescent="0.2">
      <c r="A392" t="s">
        <v>26</v>
      </c>
      <c r="B392" t="s">
        <v>27</v>
      </c>
      <c r="C392" t="s">
        <v>28</v>
      </c>
      <c r="D392" t="s">
        <v>29</v>
      </c>
      <c r="E392" t="s">
        <v>30</v>
      </c>
      <c r="F392" s="1">
        <v>45809</v>
      </c>
      <c r="G392" t="s">
        <v>16</v>
      </c>
      <c r="H392" s="2">
        <v>595844.74</v>
      </c>
      <c r="I392" s="2">
        <v>609033.93999999994</v>
      </c>
      <c r="J392" s="2">
        <v>581406.21</v>
      </c>
      <c r="K392" s="2">
        <v>607572.41</v>
      </c>
      <c r="L392" s="2">
        <f t="shared" si="24"/>
        <v>13189.199999999953</v>
      </c>
      <c r="M392" s="4">
        <f t="shared" si="25"/>
        <v>2.2135296520365277E-2</v>
      </c>
      <c r="N392" s="2">
        <f t="shared" si="26"/>
        <v>-27627.729999999981</v>
      </c>
      <c r="O392" s="6">
        <f t="shared" si="27"/>
        <v>0.95463679741723428</v>
      </c>
    </row>
    <row r="393" spans="1:15" x14ac:dyDescent="0.2">
      <c r="A393" t="s">
        <v>26</v>
      </c>
      <c r="B393" t="s">
        <v>27</v>
      </c>
      <c r="C393" t="s">
        <v>28</v>
      </c>
      <c r="D393" t="s">
        <v>29</v>
      </c>
      <c r="E393" t="s">
        <v>30</v>
      </c>
      <c r="F393" s="1">
        <v>45809</v>
      </c>
      <c r="G393" t="s">
        <v>17</v>
      </c>
      <c r="H393" s="2">
        <v>481590.95</v>
      </c>
      <c r="I393" s="2">
        <v>541477.02</v>
      </c>
      <c r="J393" s="2">
        <v>481226.43</v>
      </c>
      <c r="K393" s="2">
        <v>521601.84</v>
      </c>
      <c r="L393" s="2">
        <f t="shared" si="24"/>
        <v>59886.070000000007</v>
      </c>
      <c r="M393" s="4">
        <f t="shared" si="25"/>
        <v>0.124350488729076</v>
      </c>
      <c r="N393" s="2">
        <f t="shared" si="26"/>
        <v>-60250.590000000026</v>
      </c>
      <c r="O393" s="6">
        <f t="shared" si="27"/>
        <v>0.8887291837426452</v>
      </c>
    </row>
    <row r="394" spans="1:15" x14ac:dyDescent="0.2">
      <c r="A394" t="s">
        <v>26</v>
      </c>
      <c r="B394" t="s">
        <v>27</v>
      </c>
      <c r="C394" t="s">
        <v>28</v>
      </c>
      <c r="D394" t="s">
        <v>29</v>
      </c>
      <c r="E394" t="s">
        <v>30</v>
      </c>
      <c r="F394" s="1">
        <v>45809</v>
      </c>
      <c r="G394" t="s">
        <v>18</v>
      </c>
      <c r="H394" s="2">
        <v>359383.56</v>
      </c>
      <c r="I394" s="2">
        <v>397428.87</v>
      </c>
      <c r="J394" s="2">
        <v>349842.17</v>
      </c>
      <c r="K394" s="2">
        <v>386325.71</v>
      </c>
      <c r="L394" s="2">
        <f t="shared" si="24"/>
        <v>38045.31</v>
      </c>
      <c r="M394" s="4">
        <f t="shared" si="25"/>
        <v>0.10586268887758805</v>
      </c>
      <c r="N394" s="2">
        <f t="shared" si="26"/>
        <v>-47586.700000000012</v>
      </c>
      <c r="O394" s="6">
        <f t="shared" si="27"/>
        <v>0.88026360540944093</v>
      </c>
    </row>
    <row r="395" spans="1:15" x14ac:dyDescent="0.2">
      <c r="A395" t="s">
        <v>26</v>
      </c>
      <c r="B395" t="s">
        <v>27</v>
      </c>
      <c r="C395" t="s">
        <v>28</v>
      </c>
      <c r="D395" t="s">
        <v>29</v>
      </c>
      <c r="E395" t="s">
        <v>30</v>
      </c>
      <c r="F395" s="1">
        <v>45809</v>
      </c>
      <c r="G395" t="s">
        <v>19</v>
      </c>
      <c r="H395" s="2">
        <v>266799.87</v>
      </c>
      <c r="I395" s="2">
        <v>263539.59999999998</v>
      </c>
      <c r="J395" s="2">
        <v>269671.78999999998</v>
      </c>
      <c r="K395" s="2">
        <v>262173.36</v>
      </c>
      <c r="L395" s="2">
        <f t="shared" si="24"/>
        <v>-3260.2700000000186</v>
      </c>
      <c r="M395" s="4">
        <f t="shared" si="25"/>
        <v>-1.2219908502953989E-2</v>
      </c>
      <c r="N395" s="2">
        <f t="shared" si="26"/>
        <v>6132.1900000000023</v>
      </c>
      <c r="O395" s="6">
        <f t="shared" si="27"/>
        <v>1.023268571402552</v>
      </c>
    </row>
    <row r="396" spans="1:15" x14ac:dyDescent="0.2">
      <c r="A396" t="s">
        <v>26</v>
      </c>
      <c r="B396" t="s">
        <v>27</v>
      </c>
      <c r="C396" t="s">
        <v>28</v>
      </c>
      <c r="D396" t="s">
        <v>29</v>
      </c>
      <c r="E396" t="s">
        <v>30</v>
      </c>
      <c r="F396" s="1">
        <v>45809</v>
      </c>
      <c r="G396" t="s">
        <v>20</v>
      </c>
      <c r="H396" s="2">
        <v>65021.48</v>
      </c>
      <c r="I396" s="2">
        <v>66974.45</v>
      </c>
      <c r="J396" s="2">
        <v>66474.100000000006</v>
      </c>
      <c r="K396" s="2">
        <v>66778.14</v>
      </c>
      <c r="L396" s="2">
        <f t="shared" si="24"/>
        <v>1952.9699999999939</v>
      </c>
      <c r="M396" s="4">
        <f t="shared" si="25"/>
        <v>3.0035766642038813E-2</v>
      </c>
      <c r="N396" s="2">
        <f t="shared" si="26"/>
        <v>-500.34999999999127</v>
      </c>
      <c r="O396" s="6">
        <f t="shared" si="27"/>
        <v>0.99252924062832926</v>
      </c>
    </row>
    <row r="397" spans="1:15" x14ac:dyDescent="0.2">
      <c r="A397" t="s">
        <v>26</v>
      </c>
      <c r="B397" t="s">
        <v>27</v>
      </c>
      <c r="C397" t="s">
        <v>28</v>
      </c>
      <c r="D397" t="s">
        <v>29</v>
      </c>
      <c r="E397" t="s">
        <v>30</v>
      </c>
      <c r="F397" s="1">
        <v>45809</v>
      </c>
      <c r="G397" t="s">
        <v>21</v>
      </c>
      <c r="H397" s="2">
        <v>100913.17</v>
      </c>
      <c r="I397" s="2">
        <v>97655.64</v>
      </c>
      <c r="J397" s="2">
        <v>99105.21</v>
      </c>
      <c r="K397" s="2">
        <v>98170.91</v>
      </c>
      <c r="L397" s="2">
        <f t="shared" si="24"/>
        <v>-3257.5299999999988</v>
      </c>
      <c r="M397" s="4">
        <f t="shared" si="25"/>
        <v>-3.2280523939541277E-2</v>
      </c>
      <c r="N397" s="2">
        <f t="shared" si="26"/>
        <v>1449.570000000007</v>
      </c>
      <c r="O397" s="6">
        <f t="shared" si="27"/>
        <v>1.0148436895196222</v>
      </c>
    </row>
    <row r="398" spans="1:15" x14ac:dyDescent="0.2">
      <c r="A398" t="s">
        <v>26</v>
      </c>
      <c r="B398" t="s">
        <v>27</v>
      </c>
      <c r="C398" t="s">
        <v>28</v>
      </c>
      <c r="D398" t="s">
        <v>29</v>
      </c>
      <c r="E398" t="s">
        <v>30</v>
      </c>
      <c r="F398" s="1">
        <v>45839</v>
      </c>
      <c r="G398" t="s">
        <v>16</v>
      </c>
      <c r="H398" s="2">
        <v>607325.73</v>
      </c>
      <c r="I398" s="2">
        <v>627467.38</v>
      </c>
      <c r="J398" s="2">
        <v>597264.98</v>
      </c>
      <c r="K398" s="2">
        <v>627832.59</v>
      </c>
      <c r="L398" s="2">
        <f t="shared" si="24"/>
        <v>20141.650000000023</v>
      </c>
      <c r="M398" s="4">
        <f t="shared" si="25"/>
        <v>3.3164493129576485E-2</v>
      </c>
      <c r="N398" s="2">
        <f t="shared" si="26"/>
        <v>-30202.400000000023</v>
      </c>
      <c r="O398" s="6">
        <f t="shared" si="27"/>
        <v>0.95186618306755644</v>
      </c>
    </row>
    <row r="399" spans="1:15" x14ac:dyDescent="0.2">
      <c r="A399" t="s">
        <v>26</v>
      </c>
      <c r="B399" t="s">
        <v>27</v>
      </c>
      <c r="C399" t="s">
        <v>28</v>
      </c>
      <c r="D399" t="s">
        <v>29</v>
      </c>
      <c r="E399" t="s">
        <v>30</v>
      </c>
      <c r="F399" s="1">
        <v>45839</v>
      </c>
      <c r="G399" t="s">
        <v>17</v>
      </c>
      <c r="H399" s="2">
        <v>494641.26</v>
      </c>
      <c r="I399" s="2">
        <v>557743.17000000004</v>
      </c>
      <c r="J399" s="2">
        <v>508886.14</v>
      </c>
      <c r="K399" s="2">
        <v>532837.42000000004</v>
      </c>
      <c r="L399" s="2">
        <f t="shared" si="24"/>
        <v>63101.910000000033</v>
      </c>
      <c r="M399" s="4">
        <f t="shared" si="25"/>
        <v>0.12757106028720699</v>
      </c>
      <c r="N399" s="2">
        <f t="shared" si="26"/>
        <v>-48857.030000000028</v>
      </c>
      <c r="O399" s="6">
        <f t="shared" si="27"/>
        <v>0.91240228006736501</v>
      </c>
    </row>
    <row r="400" spans="1:15" x14ac:dyDescent="0.2">
      <c r="A400" t="s">
        <v>26</v>
      </c>
      <c r="B400" t="s">
        <v>27</v>
      </c>
      <c r="C400" t="s">
        <v>28</v>
      </c>
      <c r="D400" t="s">
        <v>29</v>
      </c>
      <c r="E400" t="s">
        <v>30</v>
      </c>
      <c r="F400" s="1">
        <v>45839</v>
      </c>
      <c r="G400" t="s">
        <v>18</v>
      </c>
      <c r="H400" s="2">
        <v>374756.78</v>
      </c>
      <c r="I400" s="2">
        <v>380569.67</v>
      </c>
      <c r="J400" s="2">
        <v>367502.65</v>
      </c>
      <c r="K400" s="2">
        <v>375041.21</v>
      </c>
      <c r="L400" s="2">
        <f t="shared" si="24"/>
        <v>5812.8899999999558</v>
      </c>
      <c r="M400" s="4">
        <f t="shared" si="25"/>
        <v>1.5511100292835143E-2</v>
      </c>
      <c r="N400" s="2">
        <f t="shared" si="26"/>
        <v>-13067.01999999996</v>
      </c>
      <c r="O400" s="6">
        <f t="shared" si="27"/>
        <v>0.96566457857768861</v>
      </c>
    </row>
    <row r="401" spans="1:15" x14ac:dyDescent="0.2">
      <c r="A401" t="s">
        <v>26</v>
      </c>
      <c r="B401" t="s">
        <v>27</v>
      </c>
      <c r="C401" t="s">
        <v>28</v>
      </c>
      <c r="D401" t="s">
        <v>29</v>
      </c>
      <c r="E401" t="s">
        <v>30</v>
      </c>
      <c r="F401" s="1">
        <v>45839</v>
      </c>
      <c r="G401" t="s">
        <v>19</v>
      </c>
      <c r="H401" s="2">
        <v>281786.40000000002</v>
      </c>
      <c r="I401" s="2">
        <v>291013.76000000001</v>
      </c>
      <c r="J401" s="2">
        <v>281146.86</v>
      </c>
      <c r="K401" s="2">
        <v>291526.24</v>
      </c>
      <c r="L401" s="2">
        <f t="shared" si="24"/>
        <v>9227.359999999986</v>
      </c>
      <c r="M401" s="4">
        <f t="shared" si="25"/>
        <v>3.274593805804675E-2</v>
      </c>
      <c r="N401" s="2">
        <f t="shared" si="26"/>
        <v>-9866.9000000000233</v>
      </c>
      <c r="O401" s="6">
        <f t="shared" si="27"/>
        <v>0.96609473036601423</v>
      </c>
    </row>
    <row r="402" spans="1:15" x14ac:dyDescent="0.2">
      <c r="A402" t="s">
        <v>26</v>
      </c>
      <c r="B402" t="s">
        <v>27</v>
      </c>
      <c r="C402" t="s">
        <v>28</v>
      </c>
      <c r="D402" t="s">
        <v>29</v>
      </c>
      <c r="E402" t="s">
        <v>30</v>
      </c>
      <c r="F402" s="1">
        <v>45839</v>
      </c>
      <c r="G402" t="s">
        <v>20</v>
      </c>
      <c r="H402" s="2">
        <v>63908.76</v>
      </c>
      <c r="I402" s="2">
        <v>65216.26</v>
      </c>
      <c r="J402" s="2">
        <v>65525.15</v>
      </c>
      <c r="K402" s="2">
        <v>65282.080000000002</v>
      </c>
      <c r="L402" s="2">
        <f t="shared" si="24"/>
        <v>1307.5</v>
      </c>
      <c r="M402" s="4">
        <f t="shared" si="25"/>
        <v>2.0458854153953231E-2</v>
      </c>
      <c r="N402" s="2">
        <f t="shared" si="26"/>
        <v>308.88999999999942</v>
      </c>
      <c r="O402" s="6">
        <f t="shared" si="27"/>
        <v>1.0047363954940072</v>
      </c>
    </row>
    <row r="403" spans="1:15" x14ac:dyDescent="0.2">
      <c r="A403" t="s">
        <v>26</v>
      </c>
      <c r="B403" t="s">
        <v>27</v>
      </c>
      <c r="C403" t="s">
        <v>28</v>
      </c>
      <c r="D403" t="s">
        <v>29</v>
      </c>
      <c r="E403" t="s">
        <v>30</v>
      </c>
      <c r="F403" s="1">
        <v>45839</v>
      </c>
      <c r="G403" t="s">
        <v>21</v>
      </c>
      <c r="H403" s="2">
        <v>101657.17</v>
      </c>
      <c r="I403" s="2">
        <v>99443.05</v>
      </c>
      <c r="J403" s="2">
        <v>103034.24000000001</v>
      </c>
      <c r="K403" s="2">
        <v>101189.92</v>
      </c>
      <c r="L403" s="2">
        <f t="shared" si="24"/>
        <v>-2214.1199999999953</v>
      </c>
      <c r="M403" s="4">
        <f t="shared" si="25"/>
        <v>-2.1780263999086294E-2</v>
      </c>
      <c r="N403" s="2">
        <f t="shared" si="26"/>
        <v>3591.1900000000023</v>
      </c>
      <c r="O403" s="6">
        <f t="shared" si="27"/>
        <v>1.0361130315291014</v>
      </c>
    </row>
    <row r="404" spans="1:15" x14ac:dyDescent="0.2">
      <c r="A404" t="s">
        <v>26</v>
      </c>
      <c r="B404" t="s">
        <v>27</v>
      </c>
      <c r="C404" t="s">
        <v>28</v>
      </c>
      <c r="D404" t="s">
        <v>29</v>
      </c>
      <c r="E404" t="s">
        <v>30</v>
      </c>
      <c r="F404" s="1">
        <v>45870</v>
      </c>
      <c r="G404" t="s">
        <v>16</v>
      </c>
      <c r="H404" s="2">
        <v>639108.07999999996</v>
      </c>
      <c r="I404" s="2">
        <v>644857.13</v>
      </c>
      <c r="J404" s="2">
        <v>625230.68000000005</v>
      </c>
      <c r="K404" s="2">
        <v>652018.23</v>
      </c>
      <c r="L404" s="2">
        <f t="shared" si="24"/>
        <v>5749.0500000000466</v>
      </c>
      <c r="M404" s="4">
        <f t="shared" si="25"/>
        <v>8.9954268767812283E-3</v>
      </c>
      <c r="N404" s="2">
        <f t="shared" si="26"/>
        <v>-19626.449999999953</v>
      </c>
      <c r="O404" s="6">
        <f t="shared" si="27"/>
        <v>0.96956465380168788</v>
      </c>
    </row>
    <row r="405" spans="1:15" x14ac:dyDescent="0.2">
      <c r="A405" t="s">
        <v>26</v>
      </c>
      <c r="B405" t="s">
        <v>27</v>
      </c>
      <c r="C405" t="s">
        <v>28</v>
      </c>
      <c r="D405" t="s">
        <v>29</v>
      </c>
      <c r="E405" t="s">
        <v>30</v>
      </c>
      <c r="F405" s="1">
        <v>45870</v>
      </c>
      <c r="G405" t="s">
        <v>17</v>
      </c>
      <c r="H405" s="2">
        <v>501571.56</v>
      </c>
      <c r="I405" s="2">
        <v>534439.17000000004</v>
      </c>
      <c r="J405" s="2">
        <v>504819.11</v>
      </c>
      <c r="K405" s="2">
        <v>522820.92</v>
      </c>
      <c r="L405" s="2">
        <f t="shared" si="24"/>
        <v>32867.610000000044</v>
      </c>
      <c r="M405" s="4">
        <f t="shared" si="25"/>
        <v>6.5529253692135261E-2</v>
      </c>
      <c r="N405" s="2">
        <f t="shared" si="26"/>
        <v>-29620.060000000056</v>
      </c>
      <c r="O405" s="6">
        <f t="shared" si="27"/>
        <v>0.94457730334398948</v>
      </c>
    </row>
    <row r="406" spans="1:15" x14ac:dyDescent="0.2">
      <c r="A406" t="s">
        <v>26</v>
      </c>
      <c r="B406" t="s">
        <v>27</v>
      </c>
      <c r="C406" t="s">
        <v>28</v>
      </c>
      <c r="D406" t="s">
        <v>29</v>
      </c>
      <c r="E406" t="s">
        <v>30</v>
      </c>
      <c r="F406" s="1">
        <v>45870</v>
      </c>
      <c r="G406" t="s">
        <v>18</v>
      </c>
      <c r="H406" s="2">
        <v>369063.9</v>
      </c>
      <c r="I406" s="2">
        <v>406021.37</v>
      </c>
      <c r="J406" s="2">
        <v>377092.09</v>
      </c>
      <c r="K406" s="2">
        <v>391000.39</v>
      </c>
      <c r="L406" s="2">
        <f t="shared" si="24"/>
        <v>36957.469999999972</v>
      </c>
      <c r="M406" s="4">
        <f t="shared" si="25"/>
        <v>0.10013840421672228</v>
      </c>
      <c r="N406" s="2">
        <f t="shared" si="26"/>
        <v>-28929.27999999997</v>
      </c>
      <c r="O406" s="6">
        <f t="shared" si="27"/>
        <v>0.92874936607400749</v>
      </c>
    </row>
    <row r="407" spans="1:15" x14ac:dyDescent="0.2">
      <c r="A407" t="s">
        <v>26</v>
      </c>
      <c r="B407" t="s">
        <v>27</v>
      </c>
      <c r="C407" t="s">
        <v>28</v>
      </c>
      <c r="D407" t="s">
        <v>29</v>
      </c>
      <c r="E407" t="s">
        <v>30</v>
      </c>
      <c r="F407" s="1">
        <v>45870</v>
      </c>
      <c r="G407" t="s">
        <v>19</v>
      </c>
      <c r="H407" s="2">
        <v>277201.28999999998</v>
      </c>
      <c r="I407" s="2">
        <v>272763.63</v>
      </c>
      <c r="J407" s="2">
        <v>279862.98</v>
      </c>
      <c r="K407" s="2">
        <v>278190.25</v>
      </c>
      <c r="L407" s="2">
        <f t="shared" si="24"/>
        <v>-4437.6599999999744</v>
      </c>
      <c r="M407" s="4">
        <f t="shared" si="25"/>
        <v>-1.6008799959047717E-2</v>
      </c>
      <c r="N407" s="2">
        <f t="shared" si="26"/>
        <v>7099.3499999999767</v>
      </c>
      <c r="O407" s="6">
        <f t="shared" si="27"/>
        <v>1.0260274802766043</v>
      </c>
    </row>
    <row r="408" spans="1:15" x14ac:dyDescent="0.2">
      <c r="A408" t="s">
        <v>26</v>
      </c>
      <c r="B408" t="s">
        <v>27</v>
      </c>
      <c r="C408" t="s">
        <v>28</v>
      </c>
      <c r="D408" t="s">
        <v>29</v>
      </c>
      <c r="E408" t="s">
        <v>30</v>
      </c>
      <c r="F408" s="1">
        <v>45870</v>
      </c>
      <c r="G408" t="s">
        <v>20</v>
      </c>
      <c r="H408" s="2">
        <v>66641.31</v>
      </c>
      <c r="I408" s="2">
        <v>66406.600000000006</v>
      </c>
      <c r="J408" s="2">
        <v>65020.29</v>
      </c>
      <c r="K408" s="2">
        <v>66429.460000000006</v>
      </c>
      <c r="L408" s="2">
        <f t="shared" si="24"/>
        <v>-234.70999999999185</v>
      </c>
      <c r="M408" s="4">
        <f t="shared" si="25"/>
        <v>-3.5219895887399553E-3</v>
      </c>
      <c r="N408" s="2">
        <f t="shared" si="26"/>
        <v>-1386.3100000000049</v>
      </c>
      <c r="O408" s="6">
        <f t="shared" si="27"/>
        <v>0.97912391238220287</v>
      </c>
    </row>
    <row r="409" spans="1:15" x14ac:dyDescent="0.2">
      <c r="A409" t="s">
        <v>26</v>
      </c>
      <c r="B409" t="s">
        <v>27</v>
      </c>
      <c r="C409" t="s">
        <v>28</v>
      </c>
      <c r="D409" t="s">
        <v>29</v>
      </c>
      <c r="E409" t="s">
        <v>30</v>
      </c>
      <c r="F409" s="1">
        <v>45870</v>
      </c>
      <c r="G409" t="s">
        <v>21</v>
      </c>
      <c r="H409" s="2">
        <v>103883.39</v>
      </c>
      <c r="I409" s="2">
        <v>105872.24</v>
      </c>
      <c r="J409" s="2">
        <v>105723.02</v>
      </c>
      <c r="K409" s="2">
        <v>106412.49</v>
      </c>
      <c r="L409" s="2">
        <f t="shared" si="24"/>
        <v>1988.8500000000058</v>
      </c>
      <c r="M409" s="4">
        <f t="shared" si="25"/>
        <v>1.9145024050524397E-2</v>
      </c>
      <c r="N409" s="2">
        <f t="shared" si="26"/>
        <v>-149.22000000000116</v>
      </c>
      <c r="O409" s="6">
        <f t="shared" si="27"/>
        <v>0.99859056538333368</v>
      </c>
    </row>
    <row r="410" spans="1:15" x14ac:dyDescent="0.2">
      <c r="A410" t="s">
        <v>26</v>
      </c>
      <c r="B410" t="s">
        <v>27</v>
      </c>
      <c r="C410" t="s">
        <v>28</v>
      </c>
      <c r="D410" t="s">
        <v>29</v>
      </c>
      <c r="E410" t="s">
        <v>30</v>
      </c>
      <c r="F410" s="1">
        <v>45901</v>
      </c>
      <c r="G410" t="s">
        <v>16</v>
      </c>
      <c r="H410" s="2">
        <v>642703.79</v>
      </c>
      <c r="I410" s="2">
        <v>656750.36</v>
      </c>
      <c r="J410" s="2">
        <v>627959.75</v>
      </c>
      <c r="K410" s="2">
        <v>660819.42000000004</v>
      </c>
      <c r="L410" s="2">
        <f t="shared" si="24"/>
        <v>14046.569999999949</v>
      </c>
      <c r="M410" s="4">
        <f t="shared" si="25"/>
        <v>2.1855433589398857E-2</v>
      </c>
      <c r="N410" s="2">
        <f t="shared" si="26"/>
        <v>-28790.609999999986</v>
      </c>
      <c r="O410" s="6">
        <f t="shared" si="27"/>
        <v>0.95616201870068263</v>
      </c>
    </row>
    <row r="411" spans="1:15" x14ac:dyDescent="0.2">
      <c r="A411" t="s">
        <v>26</v>
      </c>
      <c r="B411" t="s">
        <v>27</v>
      </c>
      <c r="C411" t="s">
        <v>28</v>
      </c>
      <c r="D411" t="s">
        <v>29</v>
      </c>
      <c r="E411" t="s">
        <v>30</v>
      </c>
      <c r="F411" s="1">
        <v>45901</v>
      </c>
      <c r="G411" t="s">
        <v>17</v>
      </c>
      <c r="H411" s="2">
        <v>501435.21</v>
      </c>
      <c r="I411" s="2">
        <v>539416.39</v>
      </c>
      <c r="J411" s="2">
        <v>494710.13</v>
      </c>
      <c r="K411" s="2">
        <v>526857.79</v>
      </c>
      <c r="L411" s="2">
        <f t="shared" si="24"/>
        <v>37981.179999999993</v>
      </c>
      <c r="M411" s="4">
        <f t="shared" si="25"/>
        <v>7.5744940208726047E-2</v>
      </c>
      <c r="N411" s="2">
        <f t="shared" si="26"/>
        <v>-44706.260000000009</v>
      </c>
      <c r="O411" s="6">
        <f t="shared" si="27"/>
        <v>0.91712105744506578</v>
      </c>
    </row>
    <row r="412" spans="1:15" x14ac:dyDescent="0.2">
      <c r="A412" t="s">
        <v>26</v>
      </c>
      <c r="B412" t="s">
        <v>27</v>
      </c>
      <c r="C412" t="s">
        <v>28</v>
      </c>
      <c r="D412" t="s">
        <v>29</v>
      </c>
      <c r="E412" t="s">
        <v>30</v>
      </c>
      <c r="F412" s="1">
        <v>45901</v>
      </c>
      <c r="G412" t="s">
        <v>18</v>
      </c>
      <c r="H412" s="2">
        <v>393119.13</v>
      </c>
      <c r="I412" s="2">
        <v>414784.29</v>
      </c>
      <c r="J412" s="2">
        <v>391844.92</v>
      </c>
      <c r="K412" s="2">
        <v>404368.33</v>
      </c>
      <c r="L412" s="2">
        <f t="shared" si="24"/>
        <v>21665.159999999974</v>
      </c>
      <c r="M412" s="4">
        <f t="shared" si="25"/>
        <v>5.5110927824855466E-2</v>
      </c>
      <c r="N412" s="2">
        <f t="shared" si="26"/>
        <v>-22939.369999999995</v>
      </c>
      <c r="O412" s="6">
        <f t="shared" si="27"/>
        <v>0.94469566337722188</v>
      </c>
    </row>
    <row r="413" spans="1:15" x14ac:dyDescent="0.2">
      <c r="A413" t="s">
        <v>26</v>
      </c>
      <c r="B413" t="s">
        <v>27</v>
      </c>
      <c r="C413" t="s">
        <v>28</v>
      </c>
      <c r="D413" t="s">
        <v>29</v>
      </c>
      <c r="E413" t="s">
        <v>30</v>
      </c>
      <c r="F413" s="1">
        <v>45901</v>
      </c>
      <c r="G413" t="s">
        <v>19</v>
      </c>
      <c r="H413" s="2">
        <v>279984.69</v>
      </c>
      <c r="I413" s="2">
        <v>288372.31</v>
      </c>
      <c r="J413" s="2">
        <v>274209.34000000003</v>
      </c>
      <c r="K413" s="2">
        <v>282836.42</v>
      </c>
      <c r="L413" s="2">
        <f t="shared" si="24"/>
        <v>8387.6199999999953</v>
      </c>
      <c r="M413" s="4">
        <f t="shared" si="25"/>
        <v>2.9957423743419666E-2</v>
      </c>
      <c r="N413" s="2">
        <f t="shared" si="26"/>
        <v>-14162.969999999972</v>
      </c>
      <c r="O413" s="6">
        <f t="shared" si="27"/>
        <v>0.95088651195393914</v>
      </c>
    </row>
    <row r="414" spans="1:15" x14ac:dyDescent="0.2">
      <c r="A414" t="s">
        <v>26</v>
      </c>
      <c r="B414" t="s">
        <v>27</v>
      </c>
      <c r="C414" t="s">
        <v>28</v>
      </c>
      <c r="D414" t="s">
        <v>29</v>
      </c>
      <c r="E414" t="s">
        <v>30</v>
      </c>
      <c r="F414" s="1">
        <v>45901</v>
      </c>
      <c r="G414" t="s">
        <v>20</v>
      </c>
      <c r="H414" s="2">
        <v>64427.9</v>
      </c>
      <c r="I414" s="2">
        <v>64070.95</v>
      </c>
      <c r="J414" s="2">
        <v>64791.31</v>
      </c>
      <c r="K414" s="2">
        <v>64322.68</v>
      </c>
      <c r="L414" s="2">
        <f t="shared" si="24"/>
        <v>-356.95000000000437</v>
      </c>
      <c r="M414" s="4">
        <f t="shared" si="25"/>
        <v>-5.5403016395071756E-3</v>
      </c>
      <c r="N414" s="2">
        <f t="shared" si="26"/>
        <v>720.36000000000058</v>
      </c>
      <c r="O414" s="6">
        <f t="shared" si="27"/>
        <v>1.0112431609020938</v>
      </c>
    </row>
    <row r="415" spans="1:15" x14ac:dyDescent="0.2">
      <c r="A415" t="s">
        <v>26</v>
      </c>
      <c r="B415" t="s">
        <v>27</v>
      </c>
      <c r="C415" t="s">
        <v>28</v>
      </c>
      <c r="D415" t="s">
        <v>29</v>
      </c>
      <c r="E415" t="s">
        <v>30</v>
      </c>
      <c r="F415" s="1">
        <v>45901</v>
      </c>
      <c r="G415" t="s">
        <v>21</v>
      </c>
      <c r="H415" s="2">
        <v>105593.33</v>
      </c>
      <c r="I415" s="2">
        <v>103163.75</v>
      </c>
      <c r="J415" s="2">
        <v>105027.11</v>
      </c>
      <c r="K415" s="2">
        <v>102886.91</v>
      </c>
      <c r="L415" s="2">
        <f t="shared" si="24"/>
        <v>-2429.5800000000017</v>
      </c>
      <c r="M415" s="4">
        <f t="shared" si="25"/>
        <v>-2.3008839668187391E-2</v>
      </c>
      <c r="N415" s="2">
        <f t="shared" si="26"/>
        <v>1863.3600000000006</v>
      </c>
      <c r="O415" s="6">
        <f t="shared" si="27"/>
        <v>1.0180621584616689</v>
      </c>
    </row>
    <row r="416" spans="1:15" x14ac:dyDescent="0.2">
      <c r="A416" t="s">
        <v>26</v>
      </c>
      <c r="B416" t="s">
        <v>27</v>
      </c>
      <c r="C416" t="s">
        <v>28</v>
      </c>
      <c r="D416" t="s">
        <v>29</v>
      </c>
      <c r="E416" t="s">
        <v>30</v>
      </c>
      <c r="F416" s="1">
        <v>45931</v>
      </c>
      <c r="G416" t="s">
        <v>16</v>
      </c>
      <c r="H416" s="2">
        <v>619831.18999999994</v>
      </c>
      <c r="I416" s="2">
        <v>622849.98</v>
      </c>
      <c r="J416" s="2">
        <v>637974.71</v>
      </c>
      <c r="K416" s="2">
        <v>616478.43999999994</v>
      </c>
      <c r="L416" s="2">
        <f t="shared" si="24"/>
        <v>3018.7900000000373</v>
      </c>
      <c r="M416" s="4">
        <f t="shared" si="25"/>
        <v>4.870342197526455E-3</v>
      </c>
      <c r="N416" s="2">
        <f t="shared" si="26"/>
        <v>15124.729999999981</v>
      </c>
      <c r="O416" s="6">
        <f t="shared" si="27"/>
        <v>1.024283102650176</v>
      </c>
    </row>
    <row r="417" spans="1:15" x14ac:dyDescent="0.2">
      <c r="A417" t="s">
        <v>26</v>
      </c>
      <c r="B417" t="s">
        <v>27</v>
      </c>
      <c r="C417" t="s">
        <v>28</v>
      </c>
      <c r="D417" t="s">
        <v>29</v>
      </c>
      <c r="E417" t="s">
        <v>30</v>
      </c>
      <c r="F417" s="1">
        <v>45931</v>
      </c>
      <c r="G417" t="s">
        <v>17</v>
      </c>
      <c r="H417" s="2">
        <v>473725.93</v>
      </c>
      <c r="I417" s="2">
        <v>555538.65</v>
      </c>
      <c r="J417" s="2">
        <v>478269.19</v>
      </c>
      <c r="K417" s="2">
        <v>526580.47</v>
      </c>
      <c r="L417" s="2">
        <f t="shared" si="24"/>
        <v>81812.72000000003</v>
      </c>
      <c r="M417" s="4">
        <f t="shared" si="25"/>
        <v>0.1727005317188359</v>
      </c>
      <c r="N417" s="2">
        <f t="shared" si="26"/>
        <v>-77269.460000000021</v>
      </c>
      <c r="O417" s="6">
        <f t="shared" si="27"/>
        <v>0.86091073951380337</v>
      </c>
    </row>
    <row r="418" spans="1:15" x14ac:dyDescent="0.2">
      <c r="A418" t="s">
        <v>26</v>
      </c>
      <c r="B418" t="s">
        <v>27</v>
      </c>
      <c r="C418" t="s">
        <v>28</v>
      </c>
      <c r="D418" t="s">
        <v>29</v>
      </c>
      <c r="E418" t="s">
        <v>30</v>
      </c>
      <c r="F418" s="1">
        <v>45931</v>
      </c>
      <c r="G418" t="s">
        <v>18</v>
      </c>
      <c r="H418" s="2">
        <v>391748.21</v>
      </c>
      <c r="I418" s="2">
        <v>420595.13</v>
      </c>
      <c r="J418" s="2">
        <v>384738.79</v>
      </c>
      <c r="K418" s="2">
        <v>406352.22</v>
      </c>
      <c r="L418" s="2">
        <f t="shared" si="24"/>
        <v>28846.919999999984</v>
      </c>
      <c r="M418" s="4">
        <f t="shared" si="25"/>
        <v>7.3636379857357825E-2</v>
      </c>
      <c r="N418" s="2">
        <f t="shared" si="26"/>
        <v>-35856.340000000026</v>
      </c>
      <c r="O418" s="6">
        <f t="shared" si="27"/>
        <v>0.91474856116379655</v>
      </c>
    </row>
    <row r="419" spans="1:15" x14ac:dyDescent="0.2">
      <c r="A419" t="s">
        <v>26</v>
      </c>
      <c r="B419" t="s">
        <v>27</v>
      </c>
      <c r="C419" t="s">
        <v>28</v>
      </c>
      <c r="D419" t="s">
        <v>29</v>
      </c>
      <c r="E419" t="s">
        <v>30</v>
      </c>
      <c r="F419" s="1">
        <v>45931</v>
      </c>
      <c r="G419" t="s">
        <v>19</v>
      </c>
      <c r="H419" s="2">
        <v>284776.90999999997</v>
      </c>
      <c r="I419" s="2">
        <v>286235.34000000003</v>
      </c>
      <c r="J419" s="2">
        <v>276609.64</v>
      </c>
      <c r="K419" s="2">
        <v>286896.53000000003</v>
      </c>
      <c r="L419" s="2">
        <f t="shared" si="24"/>
        <v>1458.4300000000512</v>
      </c>
      <c r="M419" s="4">
        <f t="shared" si="25"/>
        <v>5.1213070610255981E-3</v>
      </c>
      <c r="N419" s="2">
        <f t="shared" si="26"/>
        <v>-9625.7000000000116</v>
      </c>
      <c r="O419" s="6">
        <f t="shared" si="27"/>
        <v>0.96637137818132446</v>
      </c>
    </row>
    <row r="420" spans="1:15" x14ac:dyDescent="0.2">
      <c r="A420" t="s">
        <v>26</v>
      </c>
      <c r="B420" t="s">
        <v>27</v>
      </c>
      <c r="C420" t="s">
        <v>28</v>
      </c>
      <c r="D420" t="s">
        <v>29</v>
      </c>
      <c r="E420" t="s">
        <v>30</v>
      </c>
      <c r="F420" s="1">
        <v>45931</v>
      </c>
      <c r="G420" t="s">
        <v>20</v>
      </c>
      <c r="H420" s="2">
        <v>64440.37</v>
      </c>
      <c r="I420" s="2">
        <v>65899.95</v>
      </c>
      <c r="J420" s="2">
        <v>64768.32</v>
      </c>
      <c r="K420" s="2">
        <v>65298.080000000002</v>
      </c>
      <c r="L420" s="2">
        <f t="shared" si="24"/>
        <v>1459.5799999999945</v>
      </c>
      <c r="M420" s="4">
        <f t="shared" si="25"/>
        <v>2.2650087204651285E-2</v>
      </c>
      <c r="N420" s="2">
        <f t="shared" si="26"/>
        <v>-1131.6299999999974</v>
      </c>
      <c r="O420" s="6">
        <f t="shared" si="27"/>
        <v>0.98282805980884658</v>
      </c>
    </row>
    <row r="421" spans="1:15" x14ac:dyDescent="0.2">
      <c r="A421" t="s">
        <v>26</v>
      </c>
      <c r="B421" t="s">
        <v>27</v>
      </c>
      <c r="C421" t="s">
        <v>28</v>
      </c>
      <c r="D421" t="s">
        <v>29</v>
      </c>
      <c r="E421" t="s">
        <v>30</v>
      </c>
      <c r="F421" s="1">
        <v>45931</v>
      </c>
      <c r="G421" t="s">
        <v>21</v>
      </c>
      <c r="H421" s="2">
        <v>101855.85</v>
      </c>
      <c r="I421" s="2">
        <v>103688.46</v>
      </c>
      <c r="J421" s="2">
        <v>102803.29</v>
      </c>
      <c r="K421" s="2">
        <v>102257.29</v>
      </c>
      <c r="L421" s="2">
        <f t="shared" si="24"/>
        <v>1832.6100000000006</v>
      </c>
      <c r="M421" s="4">
        <f t="shared" si="25"/>
        <v>1.7992191906503165E-2</v>
      </c>
      <c r="N421" s="2">
        <f t="shared" si="26"/>
        <v>-885.17000000001281</v>
      </c>
      <c r="O421" s="6">
        <f t="shared" si="27"/>
        <v>0.99146317729089606</v>
      </c>
    </row>
    <row r="422" spans="1:15" x14ac:dyDescent="0.2">
      <c r="A422" t="s">
        <v>26</v>
      </c>
      <c r="B422" t="s">
        <v>27</v>
      </c>
      <c r="C422" t="s">
        <v>28</v>
      </c>
      <c r="D422" t="s">
        <v>29</v>
      </c>
      <c r="E422" t="s">
        <v>30</v>
      </c>
      <c r="F422" s="1">
        <v>45962</v>
      </c>
      <c r="G422" t="s">
        <v>16</v>
      </c>
      <c r="H422" s="2">
        <v>624346.67000000004</v>
      </c>
      <c r="I422" s="2">
        <v>641349.29</v>
      </c>
      <c r="J422" s="2">
        <v>625356.76</v>
      </c>
      <c r="K422" s="2">
        <v>646213.82999999996</v>
      </c>
      <c r="L422" s="2">
        <f t="shared" si="24"/>
        <v>17002.619999999995</v>
      </c>
      <c r="M422" s="4">
        <f t="shared" si="25"/>
        <v>2.723265906103094E-2</v>
      </c>
      <c r="N422" s="2">
        <f t="shared" si="26"/>
        <v>-15992.530000000028</v>
      </c>
      <c r="O422" s="6">
        <f t="shared" si="27"/>
        <v>0.97506424307416006</v>
      </c>
    </row>
    <row r="423" spans="1:15" x14ac:dyDescent="0.2">
      <c r="A423" t="s">
        <v>26</v>
      </c>
      <c r="B423" t="s">
        <v>27</v>
      </c>
      <c r="C423" t="s">
        <v>28</v>
      </c>
      <c r="D423" t="s">
        <v>29</v>
      </c>
      <c r="E423" t="s">
        <v>30</v>
      </c>
      <c r="F423" s="1">
        <v>45962</v>
      </c>
      <c r="G423" t="s">
        <v>17</v>
      </c>
      <c r="H423" s="2">
        <v>513712.92</v>
      </c>
      <c r="I423" s="2">
        <v>552471.47</v>
      </c>
      <c r="J423" s="2">
        <v>514172.29</v>
      </c>
      <c r="K423" s="2">
        <v>539821.23</v>
      </c>
      <c r="L423" s="2">
        <f t="shared" si="24"/>
        <v>38758.549999999988</v>
      </c>
      <c r="M423" s="4">
        <f t="shared" si="25"/>
        <v>7.5447878554426834E-2</v>
      </c>
      <c r="N423" s="2">
        <f t="shared" si="26"/>
        <v>-38299.179999999993</v>
      </c>
      <c r="O423" s="6">
        <f t="shared" si="27"/>
        <v>0.93067663747414864</v>
      </c>
    </row>
    <row r="424" spans="1:15" x14ac:dyDescent="0.2">
      <c r="A424" t="s">
        <v>26</v>
      </c>
      <c r="B424" t="s">
        <v>27</v>
      </c>
      <c r="C424" t="s">
        <v>28</v>
      </c>
      <c r="D424" t="s">
        <v>29</v>
      </c>
      <c r="E424" t="s">
        <v>30</v>
      </c>
      <c r="F424" s="1">
        <v>45962</v>
      </c>
      <c r="G424" t="s">
        <v>18</v>
      </c>
      <c r="H424" s="2">
        <v>402446.96</v>
      </c>
      <c r="I424" s="2">
        <v>425120.15</v>
      </c>
      <c r="J424" s="2">
        <v>405898.62</v>
      </c>
      <c r="K424" s="2">
        <v>413095.71</v>
      </c>
      <c r="L424" s="2">
        <f t="shared" si="24"/>
        <v>22673.190000000002</v>
      </c>
      <c r="M424" s="4">
        <f t="shared" si="25"/>
        <v>5.6338330894585467E-2</v>
      </c>
      <c r="N424" s="2">
        <f t="shared" si="26"/>
        <v>-19221.530000000028</v>
      </c>
      <c r="O424" s="6">
        <f t="shared" si="27"/>
        <v>0.95478565295011297</v>
      </c>
    </row>
    <row r="425" spans="1:15" x14ac:dyDescent="0.2">
      <c r="A425" t="s">
        <v>26</v>
      </c>
      <c r="B425" t="s">
        <v>27</v>
      </c>
      <c r="C425" t="s">
        <v>28</v>
      </c>
      <c r="D425" t="s">
        <v>29</v>
      </c>
      <c r="E425" t="s">
        <v>30</v>
      </c>
      <c r="F425" s="1">
        <v>45962</v>
      </c>
      <c r="G425" t="s">
        <v>19</v>
      </c>
      <c r="H425" s="2">
        <v>279385.84999999998</v>
      </c>
      <c r="I425" s="2">
        <v>281153.25</v>
      </c>
      <c r="J425" s="2">
        <v>286460.59999999998</v>
      </c>
      <c r="K425" s="2">
        <v>285466.28000000003</v>
      </c>
      <c r="L425" s="2">
        <f t="shared" si="24"/>
        <v>1767.4000000000233</v>
      </c>
      <c r="M425" s="4">
        <f t="shared" si="25"/>
        <v>6.3260183004974066E-3</v>
      </c>
      <c r="N425" s="2">
        <f t="shared" si="26"/>
        <v>5307.3499999999767</v>
      </c>
      <c r="O425" s="6">
        <f t="shared" si="27"/>
        <v>1.0188770714903703</v>
      </c>
    </row>
    <row r="426" spans="1:15" x14ac:dyDescent="0.2">
      <c r="A426" t="s">
        <v>26</v>
      </c>
      <c r="B426" t="s">
        <v>27</v>
      </c>
      <c r="C426" t="s">
        <v>28</v>
      </c>
      <c r="D426" t="s">
        <v>29</v>
      </c>
      <c r="E426" t="s">
        <v>30</v>
      </c>
      <c r="F426" s="1">
        <v>45962</v>
      </c>
      <c r="G426" t="s">
        <v>20</v>
      </c>
      <c r="H426" s="2">
        <v>66116.38</v>
      </c>
      <c r="I426" s="2">
        <v>66231.11</v>
      </c>
      <c r="J426" s="2">
        <v>67357.570000000007</v>
      </c>
      <c r="K426" s="2">
        <v>65720.98</v>
      </c>
      <c r="L426" s="2">
        <f t="shared" si="24"/>
        <v>114.72999999999593</v>
      </c>
      <c r="M426" s="4">
        <f t="shared" si="25"/>
        <v>1.735273467785077E-3</v>
      </c>
      <c r="N426" s="2">
        <f t="shared" si="26"/>
        <v>1126.4600000000064</v>
      </c>
      <c r="O426" s="6">
        <f t="shared" si="27"/>
        <v>1.0170080193431759</v>
      </c>
    </row>
    <row r="427" spans="1:15" x14ac:dyDescent="0.2">
      <c r="A427" t="s">
        <v>26</v>
      </c>
      <c r="B427" t="s">
        <v>27</v>
      </c>
      <c r="C427" t="s">
        <v>28</v>
      </c>
      <c r="D427" t="s">
        <v>29</v>
      </c>
      <c r="E427" t="s">
        <v>30</v>
      </c>
      <c r="F427" s="1">
        <v>45962</v>
      </c>
      <c r="G427" t="s">
        <v>21</v>
      </c>
      <c r="H427" s="2">
        <v>107580.73</v>
      </c>
      <c r="I427" s="2">
        <v>109529.38</v>
      </c>
      <c r="J427" s="2">
        <v>105246.41</v>
      </c>
      <c r="K427" s="2">
        <v>110399.31</v>
      </c>
      <c r="L427" s="2">
        <f t="shared" si="24"/>
        <v>1948.6500000000087</v>
      </c>
      <c r="M427" s="4">
        <f t="shared" si="25"/>
        <v>1.8113374021537211E-2</v>
      </c>
      <c r="N427" s="2">
        <f t="shared" si="26"/>
        <v>-4282.9700000000012</v>
      </c>
      <c r="O427" s="6">
        <f t="shared" si="27"/>
        <v>0.96089661057151976</v>
      </c>
    </row>
    <row r="428" spans="1:15" x14ac:dyDescent="0.2">
      <c r="A428" t="s">
        <v>26</v>
      </c>
      <c r="B428" t="s">
        <v>27</v>
      </c>
      <c r="C428" t="s">
        <v>28</v>
      </c>
      <c r="D428" t="s">
        <v>29</v>
      </c>
      <c r="E428" t="s">
        <v>30</v>
      </c>
      <c r="F428" s="1">
        <v>45992</v>
      </c>
      <c r="G428" t="s">
        <v>16</v>
      </c>
      <c r="H428" s="2">
        <v>639996.92000000004</v>
      </c>
      <c r="I428" s="2">
        <v>617985.43000000005</v>
      </c>
      <c r="J428" s="2">
        <v>633227.39</v>
      </c>
      <c r="K428" s="2">
        <v>625404.81000000006</v>
      </c>
      <c r="L428" s="2">
        <f t="shared" si="24"/>
        <v>-22011.489999999991</v>
      </c>
      <c r="M428" s="4">
        <f t="shared" si="25"/>
        <v>-3.4393118641883449E-2</v>
      </c>
      <c r="N428" s="2">
        <f t="shared" si="26"/>
        <v>15241.959999999963</v>
      </c>
      <c r="O428" s="6">
        <f t="shared" si="27"/>
        <v>1.0246639471742884</v>
      </c>
    </row>
    <row r="429" spans="1:15" x14ac:dyDescent="0.2">
      <c r="A429" t="s">
        <v>26</v>
      </c>
      <c r="B429" t="s">
        <v>27</v>
      </c>
      <c r="C429" t="s">
        <v>28</v>
      </c>
      <c r="D429" t="s">
        <v>29</v>
      </c>
      <c r="E429" t="s">
        <v>30</v>
      </c>
      <c r="F429" s="1">
        <v>45992</v>
      </c>
      <c r="G429" t="s">
        <v>17</v>
      </c>
      <c r="H429" s="2">
        <v>494236.17</v>
      </c>
      <c r="I429" s="2">
        <v>554017.73</v>
      </c>
      <c r="J429" s="2">
        <v>482906.44</v>
      </c>
      <c r="K429" s="2">
        <v>539640.06000000006</v>
      </c>
      <c r="L429" s="2">
        <f t="shared" si="24"/>
        <v>59781.56</v>
      </c>
      <c r="M429" s="4">
        <f t="shared" si="25"/>
        <v>0.12095747666545732</v>
      </c>
      <c r="N429" s="2">
        <f t="shared" si="26"/>
        <v>-71111.289999999979</v>
      </c>
      <c r="O429" s="6">
        <f t="shared" si="27"/>
        <v>0.87164437860138522</v>
      </c>
    </row>
    <row r="430" spans="1:15" x14ac:dyDescent="0.2">
      <c r="A430" t="s">
        <v>26</v>
      </c>
      <c r="B430" t="s">
        <v>27</v>
      </c>
      <c r="C430" t="s">
        <v>28</v>
      </c>
      <c r="D430" t="s">
        <v>29</v>
      </c>
      <c r="E430" t="s">
        <v>30</v>
      </c>
      <c r="F430" s="1">
        <v>45992</v>
      </c>
      <c r="G430" t="s">
        <v>18</v>
      </c>
      <c r="H430" s="2">
        <v>409535.69</v>
      </c>
      <c r="I430" s="2">
        <v>425821.33</v>
      </c>
      <c r="J430" s="2">
        <v>412519.22</v>
      </c>
      <c r="K430" s="2">
        <v>416189.18</v>
      </c>
      <c r="L430" s="2">
        <f t="shared" si="24"/>
        <v>16285.640000000014</v>
      </c>
      <c r="M430" s="4">
        <f t="shared" si="25"/>
        <v>3.9766106831861256E-2</v>
      </c>
      <c r="N430" s="2">
        <f t="shared" si="26"/>
        <v>-13302.110000000044</v>
      </c>
      <c r="O430" s="6">
        <f t="shared" si="27"/>
        <v>0.96876128774479187</v>
      </c>
    </row>
    <row r="431" spans="1:15" x14ac:dyDescent="0.2">
      <c r="A431" t="s">
        <v>26</v>
      </c>
      <c r="B431" t="s">
        <v>27</v>
      </c>
      <c r="C431" t="s">
        <v>28</v>
      </c>
      <c r="D431" t="s">
        <v>29</v>
      </c>
      <c r="E431" t="s">
        <v>30</v>
      </c>
      <c r="F431" s="1">
        <v>45992</v>
      </c>
      <c r="G431" t="s">
        <v>19</v>
      </c>
      <c r="H431" s="2">
        <v>296546.99</v>
      </c>
      <c r="I431" s="2">
        <v>306512.23</v>
      </c>
      <c r="J431" s="2">
        <v>290516.17</v>
      </c>
      <c r="K431" s="2">
        <v>301682.37</v>
      </c>
      <c r="L431" s="2">
        <f t="shared" si="24"/>
        <v>9965.2399999999907</v>
      </c>
      <c r="M431" s="4">
        <f t="shared" si="25"/>
        <v>3.3604252735797424E-2</v>
      </c>
      <c r="N431" s="2">
        <f t="shared" si="26"/>
        <v>-15996.059999999998</v>
      </c>
      <c r="O431" s="6">
        <f t="shared" si="27"/>
        <v>0.94781265334828568</v>
      </c>
    </row>
    <row r="432" spans="1:15" x14ac:dyDescent="0.2">
      <c r="A432" t="s">
        <v>26</v>
      </c>
      <c r="B432" t="s">
        <v>27</v>
      </c>
      <c r="C432" t="s">
        <v>28</v>
      </c>
      <c r="D432" t="s">
        <v>29</v>
      </c>
      <c r="E432" t="s">
        <v>30</v>
      </c>
      <c r="F432" s="1">
        <v>45992</v>
      </c>
      <c r="G432" t="s">
        <v>20</v>
      </c>
      <c r="H432" s="2">
        <v>69731.33</v>
      </c>
      <c r="I432" s="2">
        <v>71008.350000000006</v>
      </c>
      <c r="J432" s="2">
        <v>68525.89</v>
      </c>
      <c r="K432" s="2">
        <v>70004.639999999999</v>
      </c>
      <c r="L432" s="2">
        <f t="shared" si="24"/>
        <v>1277.0200000000041</v>
      </c>
      <c r="M432" s="4">
        <f t="shared" si="25"/>
        <v>1.8313432427002382E-2</v>
      </c>
      <c r="N432" s="2">
        <f t="shared" si="26"/>
        <v>-2482.4600000000064</v>
      </c>
      <c r="O432" s="6">
        <f t="shared" si="27"/>
        <v>0.96503988615423386</v>
      </c>
    </row>
    <row r="433" spans="1:15" x14ac:dyDescent="0.2">
      <c r="A433" t="s">
        <v>26</v>
      </c>
      <c r="B433" t="s">
        <v>27</v>
      </c>
      <c r="C433" t="s">
        <v>28</v>
      </c>
      <c r="D433" t="s">
        <v>29</v>
      </c>
      <c r="E433" t="s">
        <v>30</v>
      </c>
      <c r="F433" s="1">
        <v>45992</v>
      </c>
      <c r="G433" t="s">
        <v>21</v>
      </c>
      <c r="H433" s="2">
        <v>105760.21</v>
      </c>
      <c r="I433" s="2">
        <v>104759.71</v>
      </c>
      <c r="J433" s="2">
        <v>105919.79</v>
      </c>
      <c r="K433" s="2">
        <v>106696.28</v>
      </c>
      <c r="L433" s="2">
        <f t="shared" si="24"/>
        <v>-1000.5</v>
      </c>
      <c r="M433" s="4">
        <f t="shared" si="25"/>
        <v>-9.4600795516574712E-3</v>
      </c>
      <c r="N433" s="2">
        <f t="shared" si="26"/>
        <v>1160.0799999999872</v>
      </c>
      <c r="O433" s="6">
        <f t="shared" si="27"/>
        <v>1.0110737229035855</v>
      </c>
    </row>
    <row r="434" spans="1:15" x14ac:dyDescent="0.2">
      <c r="A434" t="s">
        <v>31</v>
      </c>
      <c r="B434" t="s">
        <v>32</v>
      </c>
      <c r="C434" t="s">
        <v>33</v>
      </c>
      <c r="D434" t="s">
        <v>34</v>
      </c>
      <c r="E434" t="s">
        <v>35</v>
      </c>
      <c r="F434" s="1">
        <v>45292</v>
      </c>
      <c r="G434" t="s">
        <v>16</v>
      </c>
      <c r="H434" s="2">
        <v>354684.69</v>
      </c>
      <c r="I434" s="2">
        <v>359570.9</v>
      </c>
      <c r="J434" s="2">
        <v>355040.32</v>
      </c>
      <c r="K434" s="2">
        <v>355465.5</v>
      </c>
      <c r="L434" s="2">
        <f t="shared" si="24"/>
        <v>4886.210000000021</v>
      </c>
      <c r="M434" s="4">
        <f t="shared" si="25"/>
        <v>1.3776207819965448E-2</v>
      </c>
      <c r="N434" s="2">
        <f t="shared" si="26"/>
        <v>-4530.5800000000163</v>
      </c>
      <c r="O434" s="6">
        <f t="shared" si="27"/>
        <v>0.98740003709977642</v>
      </c>
    </row>
    <row r="435" spans="1:15" x14ac:dyDescent="0.2">
      <c r="A435" t="s">
        <v>31</v>
      </c>
      <c r="B435" t="s">
        <v>32</v>
      </c>
      <c r="C435" t="s">
        <v>33</v>
      </c>
      <c r="D435" t="s">
        <v>34</v>
      </c>
      <c r="E435" t="s">
        <v>35</v>
      </c>
      <c r="F435" s="1">
        <v>45292</v>
      </c>
      <c r="G435" t="s">
        <v>17</v>
      </c>
      <c r="H435" s="2">
        <v>282812.53999999998</v>
      </c>
      <c r="I435" s="2">
        <v>273564.81</v>
      </c>
      <c r="J435" s="2">
        <v>283249.96000000002</v>
      </c>
      <c r="K435" s="2">
        <v>276818.89</v>
      </c>
      <c r="L435" s="2">
        <f t="shared" si="24"/>
        <v>-9247.7299999999814</v>
      </c>
      <c r="M435" s="4">
        <f t="shared" si="25"/>
        <v>-3.2699151176252585E-2</v>
      </c>
      <c r="N435" s="2">
        <f t="shared" si="26"/>
        <v>9685.1500000000233</v>
      </c>
      <c r="O435" s="6">
        <f t="shared" si="27"/>
        <v>1.0354034935999261</v>
      </c>
    </row>
    <row r="436" spans="1:15" x14ac:dyDescent="0.2">
      <c r="A436" t="s">
        <v>31</v>
      </c>
      <c r="B436" t="s">
        <v>32</v>
      </c>
      <c r="C436" t="s">
        <v>33</v>
      </c>
      <c r="D436" t="s">
        <v>34</v>
      </c>
      <c r="E436" t="s">
        <v>35</v>
      </c>
      <c r="F436" s="1">
        <v>45292</v>
      </c>
      <c r="G436" t="s">
        <v>18</v>
      </c>
      <c r="H436" s="2">
        <v>224324.56</v>
      </c>
      <c r="I436" s="2">
        <v>216484.06</v>
      </c>
      <c r="J436" s="2">
        <v>226291.85</v>
      </c>
      <c r="K436" s="2">
        <v>220481.04</v>
      </c>
      <c r="L436" s="2">
        <f t="shared" si="24"/>
        <v>-7840.5</v>
      </c>
      <c r="M436" s="4">
        <f t="shared" si="25"/>
        <v>-3.4951589785799646E-2</v>
      </c>
      <c r="N436" s="2">
        <f t="shared" si="26"/>
        <v>9807.7900000000081</v>
      </c>
      <c r="O436" s="6">
        <f t="shared" si="27"/>
        <v>1.0453049060517434</v>
      </c>
    </row>
    <row r="437" spans="1:15" x14ac:dyDescent="0.2">
      <c r="A437" t="s">
        <v>31</v>
      </c>
      <c r="B437" t="s">
        <v>32</v>
      </c>
      <c r="C437" t="s">
        <v>33</v>
      </c>
      <c r="D437" t="s">
        <v>34</v>
      </c>
      <c r="E437" t="s">
        <v>35</v>
      </c>
      <c r="F437" s="1">
        <v>45292</v>
      </c>
      <c r="G437" t="s">
        <v>19</v>
      </c>
      <c r="H437" s="2">
        <v>159604.14000000001</v>
      </c>
      <c r="I437" s="2">
        <v>163146.14000000001</v>
      </c>
      <c r="J437" s="2">
        <v>157804.23000000001</v>
      </c>
      <c r="K437" s="2">
        <v>160867.68</v>
      </c>
      <c r="L437" s="2">
        <f t="shared" si="24"/>
        <v>3542</v>
      </c>
      <c r="M437" s="4">
        <f t="shared" si="25"/>
        <v>2.219240678844546E-2</v>
      </c>
      <c r="N437" s="2">
        <f t="shared" si="26"/>
        <v>-5341.9100000000035</v>
      </c>
      <c r="O437" s="6">
        <f t="shared" si="27"/>
        <v>0.9672569023085682</v>
      </c>
    </row>
    <row r="438" spans="1:15" x14ac:dyDescent="0.2">
      <c r="A438" t="s">
        <v>31</v>
      </c>
      <c r="B438" t="s">
        <v>32</v>
      </c>
      <c r="C438" t="s">
        <v>33</v>
      </c>
      <c r="D438" t="s">
        <v>34</v>
      </c>
      <c r="E438" t="s">
        <v>35</v>
      </c>
      <c r="F438" s="1">
        <v>45292</v>
      </c>
      <c r="G438" t="s">
        <v>20</v>
      </c>
      <c r="H438" s="2">
        <v>38503.89</v>
      </c>
      <c r="I438" s="2">
        <v>38719.589999999997</v>
      </c>
      <c r="J438" s="2">
        <v>37438.019999999997</v>
      </c>
      <c r="K438" s="2">
        <v>38307.370000000003</v>
      </c>
      <c r="L438" s="2">
        <f t="shared" si="24"/>
        <v>215.69999999999709</v>
      </c>
      <c r="M438" s="4">
        <f t="shared" si="25"/>
        <v>5.6020313791670688E-3</v>
      </c>
      <c r="N438" s="2">
        <f t="shared" si="26"/>
        <v>-1281.5699999999997</v>
      </c>
      <c r="O438" s="6">
        <f t="shared" si="27"/>
        <v>0.96690125076221112</v>
      </c>
    </row>
    <row r="439" spans="1:15" x14ac:dyDescent="0.2">
      <c r="A439" t="s">
        <v>31</v>
      </c>
      <c r="B439" t="s">
        <v>32</v>
      </c>
      <c r="C439" t="s">
        <v>33</v>
      </c>
      <c r="D439" t="s">
        <v>34</v>
      </c>
      <c r="E439" t="s">
        <v>35</v>
      </c>
      <c r="F439" s="1">
        <v>45292</v>
      </c>
      <c r="G439" t="s">
        <v>21</v>
      </c>
      <c r="H439" s="2">
        <v>62665.77</v>
      </c>
      <c r="I439" s="2">
        <v>64011.69</v>
      </c>
      <c r="J439" s="2">
        <v>63033.22</v>
      </c>
      <c r="K439" s="2">
        <v>64433.27</v>
      </c>
      <c r="L439" s="2">
        <f t="shared" si="24"/>
        <v>1345.9200000000055</v>
      </c>
      <c r="M439" s="4">
        <f t="shared" si="25"/>
        <v>2.1477754123184086E-2</v>
      </c>
      <c r="N439" s="2">
        <f t="shared" si="26"/>
        <v>-978.47000000000116</v>
      </c>
      <c r="O439" s="6">
        <f t="shared" si="27"/>
        <v>0.98471419829721729</v>
      </c>
    </row>
    <row r="440" spans="1:15" x14ac:dyDescent="0.2">
      <c r="A440" t="s">
        <v>31</v>
      </c>
      <c r="B440" t="s">
        <v>32</v>
      </c>
      <c r="C440" t="s">
        <v>33</v>
      </c>
      <c r="D440" t="s">
        <v>34</v>
      </c>
      <c r="E440" t="s">
        <v>35</v>
      </c>
      <c r="F440" s="1">
        <v>45323</v>
      </c>
      <c r="G440" t="s">
        <v>16</v>
      </c>
      <c r="H440" s="2">
        <v>362011.2</v>
      </c>
      <c r="I440" s="2">
        <v>367222.26</v>
      </c>
      <c r="J440" s="2">
        <v>355922.91</v>
      </c>
      <c r="K440" s="2">
        <v>364686.27</v>
      </c>
      <c r="L440" s="2">
        <f t="shared" si="24"/>
        <v>5211.0599999999977</v>
      </c>
      <c r="M440" s="4">
        <f t="shared" si="25"/>
        <v>1.4394748007796438E-2</v>
      </c>
      <c r="N440" s="2">
        <f t="shared" si="26"/>
        <v>-11299.350000000035</v>
      </c>
      <c r="O440" s="6">
        <f t="shared" si="27"/>
        <v>0.9692302149657267</v>
      </c>
    </row>
    <row r="441" spans="1:15" x14ac:dyDescent="0.2">
      <c r="A441" t="s">
        <v>31</v>
      </c>
      <c r="B441" t="s">
        <v>32</v>
      </c>
      <c r="C441" t="s">
        <v>33</v>
      </c>
      <c r="D441" t="s">
        <v>34</v>
      </c>
      <c r="E441" t="s">
        <v>35</v>
      </c>
      <c r="F441" s="1">
        <v>45323</v>
      </c>
      <c r="G441" t="s">
        <v>17</v>
      </c>
      <c r="H441" s="2">
        <v>283714.76</v>
      </c>
      <c r="I441" s="2">
        <v>291619.83</v>
      </c>
      <c r="J441" s="2">
        <v>282455.87</v>
      </c>
      <c r="K441" s="2">
        <v>289092.46000000002</v>
      </c>
      <c r="L441" s="2">
        <f t="shared" si="24"/>
        <v>7905.070000000007</v>
      </c>
      <c r="M441" s="4">
        <f t="shared" si="25"/>
        <v>2.7862737913247823E-2</v>
      </c>
      <c r="N441" s="2">
        <f t="shared" si="26"/>
        <v>-9163.960000000021</v>
      </c>
      <c r="O441" s="6">
        <f t="shared" si="27"/>
        <v>0.96857566236150672</v>
      </c>
    </row>
    <row r="442" spans="1:15" x14ac:dyDescent="0.2">
      <c r="A442" t="s">
        <v>31</v>
      </c>
      <c r="B442" t="s">
        <v>32</v>
      </c>
      <c r="C442" t="s">
        <v>33</v>
      </c>
      <c r="D442" t="s">
        <v>34</v>
      </c>
      <c r="E442" t="s">
        <v>35</v>
      </c>
      <c r="F442" s="1">
        <v>45323</v>
      </c>
      <c r="G442" t="s">
        <v>18</v>
      </c>
      <c r="H442" s="2">
        <v>228392.81</v>
      </c>
      <c r="I442" s="2">
        <v>222098.11</v>
      </c>
      <c r="J442" s="2">
        <v>229088.23</v>
      </c>
      <c r="K442" s="2">
        <v>228303.47</v>
      </c>
      <c r="L442" s="2">
        <f t="shared" si="24"/>
        <v>-6294.7000000000116</v>
      </c>
      <c r="M442" s="4">
        <f t="shared" si="25"/>
        <v>-2.7560850098564887E-2</v>
      </c>
      <c r="N442" s="2">
        <f t="shared" si="26"/>
        <v>6990.1200000000244</v>
      </c>
      <c r="O442" s="6">
        <f t="shared" si="27"/>
        <v>1.0314731178937093</v>
      </c>
    </row>
    <row r="443" spans="1:15" x14ac:dyDescent="0.2">
      <c r="A443" t="s">
        <v>31</v>
      </c>
      <c r="B443" t="s">
        <v>32</v>
      </c>
      <c r="C443" t="s">
        <v>33</v>
      </c>
      <c r="D443" t="s">
        <v>34</v>
      </c>
      <c r="E443" t="s">
        <v>35</v>
      </c>
      <c r="F443" s="1">
        <v>45323</v>
      </c>
      <c r="G443" t="s">
        <v>19</v>
      </c>
      <c r="H443" s="2">
        <v>171615.88</v>
      </c>
      <c r="I443" s="2">
        <v>172121.83</v>
      </c>
      <c r="J443" s="2">
        <v>172933.9</v>
      </c>
      <c r="K443" s="2">
        <v>173784.11</v>
      </c>
      <c r="L443" s="2">
        <f t="shared" si="24"/>
        <v>505.94999999998254</v>
      </c>
      <c r="M443" s="4">
        <f t="shared" si="25"/>
        <v>2.9481537489420124E-3</v>
      </c>
      <c r="N443" s="2">
        <f t="shared" si="26"/>
        <v>812.07000000000698</v>
      </c>
      <c r="O443" s="6">
        <f t="shared" si="27"/>
        <v>1.0047179953873371</v>
      </c>
    </row>
    <row r="444" spans="1:15" x14ac:dyDescent="0.2">
      <c r="A444" t="s">
        <v>31</v>
      </c>
      <c r="B444" t="s">
        <v>32</v>
      </c>
      <c r="C444" t="s">
        <v>33</v>
      </c>
      <c r="D444" t="s">
        <v>34</v>
      </c>
      <c r="E444" t="s">
        <v>35</v>
      </c>
      <c r="F444" s="1">
        <v>45323</v>
      </c>
      <c r="G444" t="s">
        <v>20</v>
      </c>
      <c r="H444" s="2">
        <v>40809.24</v>
      </c>
      <c r="I444" s="2">
        <v>39841.11</v>
      </c>
      <c r="J444" s="2">
        <v>41515.980000000003</v>
      </c>
      <c r="K444" s="2">
        <v>40695.11</v>
      </c>
      <c r="L444" s="2">
        <f t="shared" si="24"/>
        <v>-968.12999999999738</v>
      </c>
      <c r="M444" s="4">
        <f t="shared" si="25"/>
        <v>-2.372330384001264E-2</v>
      </c>
      <c r="N444" s="2">
        <f t="shared" si="26"/>
        <v>1674.8700000000026</v>
      </c>
      <c r="O444" s="6">
        <f t="shared" si="27"/>
        <v>1.0420387383785241</v>
      </c>
    </row>
    <row r="445" spans="1:15" x14ac:dyDescent="0.2">
      <c r="A445" t="s">
        <v>31</v>
      </c>
      <c r="B445" t="s">
        <v>32</v>
      </c>
      <c r="C445" t="s">
        <v>33</v>
      </c>
      <c r="D445" t="s">
        <v>34</v>
      </c>
      <c r="E445" t="s">
        <v>35</v>
      </c>
      <c r="F445" s="1">
        <v>45323</v>
      </c>
      <c r="G445" t="s">
        <v>21</v>
      </c>
      <c r="H445" s="2">
        <v>61196.11</v>
      </c>
      <c r="I445" s="2">
        <v>62254.91</v>
      </c>
      <c r="J445" s="2">
        <v>62746.96</v>
      </c>
      <c r="K445" s="2">
        <v>62942.14</v>
      </c>
      <c r="L445" s="2">
        <f t="shared" si="24"/>
        <v>1058.8000000000029</v>
      </c>
      <c r="M445" s="4">
        <f t="shared" si="25"/>
        <v>1.7301753330399645E-2</v>
      </c>
      <c r="N445" s="2">
        <f t="shared" si="26"/>
        <v>492.04999999999563</v>
      </c>
      <c r="O445" s="6">
        <f t="shared" si="27"/>
        <v>1.0079037942549431</v>
      </c>
    </row>
    <row r="446" spans="1:15" x14ac:dyDescent="0.2">
      <c r="A446" t="s">
        <v>31</v>
      </c>
      <c r="B446" t="s">
        <v>32</v>
      </c>
      <c r="C446" t="s">
        <v>33</v>
      </c>
      <c r="D446" t="s">
        <v>34</v>
      </c>
      <c r="E446" t="s">
        <v>35</v>
      </c>
      <c r="F446" s="1">
        <v>45352</v>
      </c>
      <c r="G446" t="s">
        <v>16</v>
      </c>
      <c r="H446" s="2">
        <v>365890.44</v>
      </c>
      <c r="I446" s="2">
        <v>363644.36</v>
      </c>
      <c r="J446" s="2">
        <v>364305.75</v>
      </c>
      <c r="K446" s="2">
        <v>362316.65</v>
      </c>
      <c r="L446" s="2">
        <f t="shared" si="24"/>
        <v>-2246.0800000000163</v>
      </c>
      <c r="M446" s="4">
        <f t="shared" si="25"/>
        <v>-6.1386681761896166E-3</v>
      </c>
      <c r="N446" s="2">
        <f t="shared" si="26"/>
        <v>661.39000000001397</v>
      </c>
      <c r="O446" s="6">
        <f t="shared" si="27"/>
        <v>1.0018187825049727</v>
      </c>
    </row>
    <row r="447" spans="1:15" x14ac:dyDescent="0.2">
      <c r="A447" t="s">
        <v>31</v>
      </c>
      <c r="B447" t="s">
        <v>32</v>
      </c>
      <c r="C447" t="s">
        <v>33</v>
      </c>
      <c r="D447" t="s">
        <v>34</v>
      </c>
      <c r="E447" t="s">
        <v>35</v>
      </c>
      <c r="F447" s="1">
        <v>45352</v>
      </c>
      <c r="G447" t="s">
        <v>17</v>
      </c>
      <c r="H447" s="2">
        <v>300612.01</v>
      </c>
      <c r="I447" s="2">
        <v>295084.5</v>
      </c>
      <c r="J447" s="2">
        <v>299282.06</v>
      </c>
      <c r="K447" s="2">
        <v>294120.2</v>
      </c>
      <c r="L447" s="2">
        <f t="shared" si="24"/>
        <v>-5527.5100000000093</v>
      </c>
      <c r="M447" s="4">
        <f t="shared" si="25"/>
        <v>-1.8387522175178594E-2</v>
      </c>
      <c r="N447" s="2">
        <f t="shared" si="26"/>
        <v>4197.5599999999977</v>
      </c>
      <c r="O447" s="6">
        <f t="shared" si="27"/>
        <v>1.0142249423470227</v>
      </c>
    </row>
    <row r="448" spans="1:15" x14ac:dyDescent="0.2">
      <c r="A448" t="s">
        <v>31</v>
      </c>
      <c r="B448" t="s">
        <v>32</v>
      </c>
      <c r="C448" t="s">
        <v>33</v>
      </c>
      <c r="D448" t="s">
        <v>34</v>
      </c>
      <c r="E448" t="s">
        <v>35</v>
      </c>
      <c r="F448" s="1">
        <v>45352</v>
      </c>
      <c r="G448" t="s">
        <v>18</v>
      </c>
      <c r="H448" s="2">
        <v>234013</v>
      </c>
      <c r="I448" s="2">
        <v>238688.32</v>
      </c>
      <c r="J448" s="2">
        <v>227077.34</v>
      </c>
      <c r="K448" s="2">
        <v>238866.5</v>
      </c>
      <c r="L448" s="2">
        <f t="shared" si="24"/>
        <v>4675.320000000007</v>
      </c>
      <c r="M448" s="4">
        <f t="shared" si="25"/>
        <v>1.9978890061663271E-2</v>
      </c>
      <c r="N448" s="2">
        <f t="shared" si="26"/>
        <v>-11610.98000000001</v>
      </c>
      <c r="O448" s="6">
        <f t="shared" si="27"/>
        <v>0.95135505583180602</v>
      </c>
    </row>
    <row r="449" spans="1:15" x14ac:dyDescent="0.2">
      <c r="A449" t="s">
        <v>31</v>
      </c>
      <c r="B449" t="s">
        <v>32</v>
      </c>
      <c r="C449" t="s">
        <v>33</v>
      </c>
      <c r="D449" t="s">
        <v>34</v>
      </c>
      <c r="E449" t="s">
        <v>35</v>
      </c>
      <c r="F449" s="1">
        <v>45352</v>
      </c>
      <c r="G449" t="s">
        <v>19</v>
      </c>
      <c r="H449" s="2">
        <v>173498.54</v>
      </c>
      <c r="I449" s="2">
        <v>175343.56</v>
      </c>
      <c r="J449" s="2">
        <v>171361.04</v>
      </c>
      <c r="K449" s="2">
        <v>176396.35</v>
      </c>
      <c r="L449" s="2">
        <f t="shared" si="24"/>
        <v>1845.0199999999895</v>
      </c>
      <c r="M449" s="4">
        <f t="shared" si="25"/>
        <v>1.0634210524192247E-2</v>
      </c>
      <c r="N449" s="2">
        <f t="shared" si="26"/>
        <v>-3982.5199999999895</v>
      </c>
      <c r="O449" s="6">
        <f t="shared" si="27"/>
        <v>0.97728733236624155</v>
      </c>
    </row>
    <row r="450" spans="1:15" x14ac:dyDescent="0.2">
      <c r="A450" t="s">
        <v>31</v>
      </c>
      <c r="B450" t="s">
        <v>32</v>
      </c>
      <c r="C450" t="s">
        <v>33</v>
      </c>
      <c r="D450" t="s">
        <v>34</v>
      </c>
      <c r="E450" t="s">
        <v>35</v>
      </c>
      <c r="F450" s="1">
        <v>45352</v>
      </c>
      <c r="G450" t="s">
        <v>20</v>
      </c>
      <c r="H450" s="2">
        <v>39009.839999999997</v>
      </c>
      <c r="I450" s="2">
        <v>38780.519999999997</v>
      </c>
      <c r="J450" s="2">
        <v>39419.980000000003</v>
      </c>
      <c r="K450" s="2">
        <v>39166.53</v>
      </c>
      <c r="L450" s="2">
        <f t="shared" ref="L450:L513" si="28">I450-H450</f>
        <v>-229.31999999999971</v>
      </c>
      <c r="M450" s="4">
        <f t="shared" ref="M450:M513" si="29">L450/H450</f>
        <v>-5.8785168049907341E-3</v>
      </c>
      <c r="N450" s="2">
        <f t="shared" ref="N450:N513" si="30">J450-I450</f>
        <v>639.4600000000064</v>
      </c>
      <c r="O450" s="6">
        <f t="shared" ref="O450:O513" si="31">J450/I450</f>
        <v>1.0164892064366338</v>
      </c>
    </row>
    <row r="451" spans="1:15" x14ac:dyDescent="0.2">
      <c r="A451" t="s">
        <v>31</v>
      </c>
      <c r="B451" t="s">
        <v>32</v>
      </c>
      <c r="C451" t="s">
        <v>33</v>
      </c>
      <c r="D451" t="s">
        <v>34</v>
      </c>
      <c r="E451" t="s">
        <v>35</v>
      </c>
      <c r="F451" s="1">
        <v>45352</v>
      </c>
      <c r="G451" t="s">
        <v>21</v>
      </c>
      <c r="H451" s="2">
        <v>60020.69</v>
      </c>
      <c r="I451" s="2">
        <v>58772.06</v>
      </c>
      <c r="J451" s="2">
        <v>58659.73</v>
      </c>
      <c r="K451" s="2">
        <v>58606.11</v>
      </c>
      <c r="L451" s="2">
        <f t="shared" si="28"/>
        <v>-1248.6300000000047</v>
      </c>
      <c r="M451" s="4">
        <f t="shared" si="29"/>
        <v>-2.0803326319640852E-2</v>
      </c>
      <c r="N451" s="2">
        <f t="shared" si="30"/>
        <v>-112.32999999999447</v>
      </c>
      <c r="O451" s="6">
        <f t="shared" si="31"/>
        <v>0.99808871766618368</v>
      </c>
    </row>
    <row r="452" spans="1:15" x14ac:dyDescent="0.2">
      <c r="A452" t="s">
        <v>31</v>
      </c>
      <c r="B452" t="s">
        <v>32</v>
      </c>
      <c r="C452" t="s">
        <v>33</v>
      </c>
      <c r="D452" t="s">
        <v>34</v>
      </c>
      <c r="E452" t="s">
        <v>35</v>
      </c>
      <c r="F452" s="1">
        <v>45383</v>
      </c>
      <c r="G452" t="s">
        <v>16</v>
      </c>
      <c r="H452" s="2">
        <v>386096.81</v>
      </c>
      <c r="I452" s="2">
        <v>395559.19</v>
      </c>
      <c r="J452" s="2">
        <v>392791.85</v>
      </c>
      <c r="K452" s="2">
        <v>396646.09</v>
      </c>
      <c r="L452" s="2">
        <f t="shared" si="28"/>
        <v>9462.3800000000047</v>
      </c>
      <c r="M452" s="4">
        <f t="shared" si="29"/>
        <v>2.4507791193612828E-2</v>
      </c>
      <c r="N452" s="2">
        <f t="shared" si="30"/>
        <v>-2767.3400000000256</v>
      </c>
      <c r="O452" s="6">
        <f t="shared" si="31"/>
        <v>0.99300398001118362</v>
      </c>
    </row>
    <row r="453" spans="1:15" x14ac:dyDescent="0.2">
      <c r="A453" t="s">
        <v>31</v>
      </c>
      <c r="B453" t="s">
        <v>32</v>
      </c>
      <c r="C453" t="s">
        <v>33</v>
      </c>
      <c r="D453" t="s">
        <v>34</v>
      </c>
      <c r="E453" t="s">
        <v>35</v>
      </c>
      <c r="F453" s="1">
        <v>45383</v>
      </c>
      <c r="G453" t="s">
        <v>17</v>
      </c>
      <c r="H453" s="2">
        <v>308000.64000000001</v>
      </c>
      <c r="I453" s="2">
        <v>311203.49</v>
      </c>
      <c r="J453" s="2">
        <v>304165.89</v>
      </c>
      <c r="K453" s="2">
        <v>309780.76</v>
      </c>
      <c r="L453" s="2">
        <f t="shared" si="28"/>
        <v>3202.8499999999767</v>
      </c>
      <c r="M453" s="4">
        <f t="shared" si="29"/>
        <v>1.0398842028380125E-2</v>
      </c>
      <c r="N453" s="2">
        <f t="shared" si="30"/>
        <v>-7037.5999999999767</v>
      </c>
      <c r="O453" s="6">
        <f t="shared" si="31"/>
        <v>0.97738585772286812</v>
      </c>
    </row>
    <row r="454" spans="1:15" x14ac:dyDescent="0.2">
      <c r="A454" t="s">
        <v>31</v>
      </c>
      <c r="B454" t="s">
        <v>32</v>
      </c>
      <c r="C454" t="s">
        <v>33</v>
      </c>
      <c r="D454" t="s">
        <v>34</v>
      </c>
      <c r="E454" t="s">
        <v>35</v>
      </c>
      <c r="F454" s="1">
        <v>45383</v>
      </c>
      <c r="G454" t="s">
        <v>18</v>
      </c>
      <c r="H454" s="2">
        <v>233224.62</v>
      </c>
      <c r="I454" s="2">
        <v>228158.66</v>
      </c>
      <c r="J454" s="2">
        <v>227935.75</v>
      </c>
      <c r="K454" s="2">
        <v>233097.54</v>
      </c>
      <c r="L454" s="2">
        <f t="shared" si="28"/>
        <v>-5065.9599999999919</v>
      </c>
      <c r="M454" s="4">
        <f t="shared" si="29"/>
        <v>-2.1721377442913154E-2</v>
      </c>
      <c r="N454" s="2">
        <f t="shared" si="30"/>
        <v>-222.91000000000349</v>
      </c>
      <c r="O454" s="6">
        <f t="shared" si="31"/>
        <v>0.99902300443033809</v>
      </c>
    </row>
    <row r="455" spans="1:15" x14ac:dyDescent="0.2">
      <c r="A455" t="s">
        <v>31</v>
      </c>
      <c r="B455" t="s">
        <v>32</v>
      </c>
      <c r="C455" t="s">
        <v>33</v>
      </c>
      <c r="D455" t="s">
        <v>34</v>
      </c>
      <c r="E455" t="s">
        <v>35</v>
      </c>
      <c r="F455" s="1">
        <v>45383</v>
      </c>
      <c r="G455" t="s">
        <v>19</v>
      </c>
      <c r="H455" s="2">
        <v>173606.17</v>
      </c>
      <c r="I455" s="2">
        <v>172776.47</v>
      </c>
      <c r="J455" s="2">
        <v>175762.61</v>
      </c>
      <c r="K455" s="2">
        <v>172783.16</v>
      </c>
      <c r="L455" s="2">
        <f t="shared" si="28"/>
        <v>-829.70000000001164</v>
      </c>
      <c r="M455" s="4">
        <f t="shared" si="29"/>
        <v>-4.7792080200836848E-3</v>
      </c>
      <c r="N455" s="2">
        <f t="shared" si="30"/>
        <v>2986.1399999999849</v>
      </c>
      <c r="O455" s="6">
        <f t="shared" si="31"/>
        <v>1.017283256221174</v>
      </c>
    </row>
    <row r="456" spans="1:15" x14ac:dyDescent="0.2">
      <c r="A456" t="s">
        <v>31</v>
      </c>
      <c r="B456" t="s">
        <v>32</v>
      </c>
      <c r="C456" t="s">
        <v>33</v>
      </c>
      <c r="D456" t="s">
        <v>34</v>
      </c>
      <c r="E456" t="s">
        <v>35</v>
      </c>
      <c r="F456" s="1">
        <v>45383</v>
      </c>
      <c r="G456" t="s">
        <v>20</v>
      </c>
      <c r="H456" s="2">
        <v>40515.379999999997</v>
      </c>
      <c r="I456" s="2">
        <v>41149.040000000001</v>
      </c>
      <c r="J456" s="2">
        <v>40842.449999999997</v>
      </c>
      <c r="K456" s="2">
        <v>41420.93</v>
      </c>
      <c r="L456" s="2">
        <f t="shared" si="28"/>
        <v>633.66000000000349</v>
      </c>
      <c r="M456" s="4">
        <f t="shared" si="29"/>
        <v>1.5639986592745854E-2</v>
      </c>
      <c r="N456" s="2">
        <f t="shared" si="30"/>
        <v>-306.59000000000378</v>
      </c>
      <c r="O456" s="6">
        <f t="shared" si="31"/>
        <v>0.99254927939995674</v>
      </c>
    </row>
    <row r="457" spans="1:15" x14ac:dyDescent="0.2">
      <c r="A457" t="s">
        <v>31</v>
      </c>
      <c r="B457" t="s">
        <v>32</v>
      </c>
      <c r="C457" t="s">
        <v>33</v>
      </c>
      <c r="D457" t="s">
        <v>34</v>
      </c>
      <c r="E457" t="s">
        <v>35</v>
      </c>
      <c r="F457" s="1">
        <v>45383</v>
      </c>
      <c r="G457" t="s">
        <v>21</v>
      </c>
      <c r="H457" s="2">
        <v>62477.53</v>
      </c>
      <c r="I457" s="2">
        <v>61442.95</v>
      </c>
      <c r="J457" s="2">
        <v>62744.05</v>
      </c>
      <c r="K457" s="2">
        <v>62879.76</v>
      </c>
      <c r="L457" s="2">
        <f t="shared" si="28"/>
        <v>-1034.5800000000017</v>
      </c>
      <c r="M457" s="4">
        <f t="shared" si="29"/>
        <v>-1.6559233375583217E-2</v>
      </c>
      <c r="N457" s="2">
        <f t="shared" si="30"/>
        <v>1301.1000000000058</v>
      </c>
      <c r="O457" s="6">
        <f t="shared" si="31"/>
        <v>1.0211757410736302</v>
      </c>
    </row>
    <row r="458" spans="1:15" x14ac:dyDescent="0.2">
      <c r="A458" t="s">
        <v>31</v>
      </c>
      <c r="B458" t="s">
        <v>32</v>
      </c>
      <c r="C458" t="s">
        <v>33</v>
      </c>
      <c r="D458" t="s">
        <v>34</v>
      </c>
      <c r="E458" t="s">
        <v>35</v>
      </c>
      <c r="F458" s="1">
        <v>45413</v>
      </c>
      <c r="G458" t="s">
        <v>16</v>
      </c>
      <c r="H458" s="2">
        <v>387079.65</v>
      </c>
      <c r="I458" s="2">
        <v>395526.16</v>
      </c>
      <c r="J458" s="2">
        <v>380138.5</v>
      </c>
      <c r="K458" s="2">
        <v>388234.63</v>
      </c>
      <c r="L458" s="2">
        <f t="shared" si="28"/>
        <v>8446.5099999999511</v>
      </c>
      <c r="M458" s="4">
        <f t="shared" si="29"/>
        <v>2.1821116144958668E-2</v>
      </c>
      <c r="N458" s="2">
        <f t="shared" si="30"/>
        <v>-15387.659999999974</v>
      </c>
      <c r="O458" s="6">
        <f t="shared" si="31"/>
        <v>0.96109572120337128</v>
      </c>
    </row>
    <row r="459" spans="1:15" x14ac:dyDescent="0.2">
      <c r="A459" t="s">
        <v>31</v>
      </c>
      <c r="B459" t="s">
        <v>32</v>
      </c>
      <c r="C459" t="s">
        <v>33</v>
      </c>
      <c r="D459" t="s">
        <v>34</v>
      </c>
      <c r="E459" t="s">
        <v>35</v>
      </c>
      <c r="F459" s="1">
        <v>45413</v>
      </c>
      <c r="G459" t="s">
        <v>17</v>
      </c>
      <c r="H459" s="2">
        <v>294498.57</v>
      </c>
      <c r="I459" s="2">
        <v>294207.17</v>
      </c>
      <c r="J459" s="2">
        <v>287822.53000000003</v>
      </c>
      <c r="K459" s="2">
        <v>298858.25</v>
      </c>
      <c r="L459" s="2">
        <f t="shared" si="28"/>
        <v>-291.40000000002328</v>
      </c>
      <c r="M459" s="4">
        <f t="shared" si="29"/>
        <v>-9.8947848880903992E-4</v>
      </c>
      <c r="N459" s="2">
        <f t="shared" si="30"/>
        <v>-6384.6399999999558</v>
      </c>
      <c r="O459" s="6">
        <f t="shared" si="31"/>
        <v>0.97829882935891754</v>
      </c>
    </row>
    <row r="460" spans="1:15" x14ac:dyDescent="0.2">
      <c r="A460" t="s">
        <v>31</v>
      </c>
      <c r="B460" t="s">
        <v>32</v>
      </c>
      <c r="C460" t="s">
        <v>33</v>
      </c>
      <c r="D460" t="s">
        <v>34</v>
      </c>
      <c r="E460" t="s">
        <v>35</v>
      </c>
      <c r="F460" s="1">
        <v>45413</v>
      </c>
      <c r="G460" t="s">
        <v>18</v>
      </c>
      <c r="H460" s="2">
        <v>227737.07</v>
      </c>
      <c r="I460" s="2">
        <v>223720.46</v>
      </c>
      <c r="J460" s="2">
        <v>232482.14</v>
      </c>
      <c r="K460" s="2">
        <v>227698.5</v>
      </c>
      <c r="L460" s="2">
        <f t="shared" si="28"/>
        <v>-4016.6100000000151</v>
      </c>
      <c r="M460" s="4">
        <f t="shared" si="29"/>
        <v>-1.7637049602860066E-2</v>
      </c>
      <c r="N460" s="2">
        <f t="shared" si="30"/>
        <v>8761.6800000000221</v>
      </c>
      <c r="O460" s="6">
        <f t="shared" si="31"/>
        <v>1.0391635168280988</v>
      </c>
    </row>
    <row r="461" spans="1:15" x14ac:dyDescent="0.2">
      <c r="A461" t="s">
        <v>31</v>
      </c>
      <c r="B461" t="s">
        <v>32</v>
      </c>
      <c r="C461" t="s">
        <v>33</v>
      </c>
      <c r="D461" t="s">
        <v>34</v>
      </c>
      <c r="E461" t="s">
        <v>35</v>
      </c>
      <c r="F461" s="1">
        <v>45413</v>
      </c>
      <c r="G461" t="s">
        <v>19</v>
      </c>
      <c r="H461" s="2">
        <v>174563.35</v>
      </c>
      <c r="I461" s="2">
        <v>168767</v>
      </c>
      <c r="J461" s="2">
        <v>172016.96</v>
      </c>
      <c r="K461" s="2">
        <v>169193.63</v>
      </c>
      <c r="L461" s="2">
        <f t="shared" si="28"/>
        <v>-5796.3500000000058</v>
      </c>
      <c r="M461" s="4">
        <f t="shared" si="29"/>
        <v>-3.3204850846411949E-2</v>
      </c>
      <c r="N461" s="2">
        <f t="shared" si="30"/>
        <v>3249.9599999999919</v>
      </c>
      <c r="O461" s="6">
        <f t="shared" si="31"/>
        <v>1.019257082249492</v>
      </c>
    </row>
    <row r="462" spans="1:15" x14ac:dyDescent="0.2">
      <c r="A462" t="s">
        <v>31</v>
      </c>
      <c r="B462" t="s">
        <v>32</v>
      </c>
      <c r="C462" t="s">
        <v>33</v>
      </c>
      <c r="D462" t="s">
        <v>34</v>
      </c>
      <c r="E462" t="s">
        <v>35</v>
      </c>
      <c r="F462" s="1">
        <v>45413</v>
      </c>
      <c r="G462" t="s">
        <v>20</v>
      </c>
      <c r="H462" s="2">
        <v>40693.949999999997</v>
      </c>
      <c r="I462" s="2">
        <v>40382.97</v>
      </c>
      <c r="J462" s="2">
        <v>40231.56</v>
      </c>
      <c r="K462" s="2">
        <v>40711.68</v>
      </c>
      <c r="L462" s="2">
        <f t="shared" si="28"/>
        <v>-310.97999999999593</v>
      </c>
      <c r="M462" s="4">
        <f t="shared" si="29"/>
        <v>-7.641922202194576E-3</v>
      </c>
      <c r="N462" s="2">
        <f t="shared" si="30"/>
        <v>-151.41000000000349</v>
      </c>
      <c r="O462" s="6">
        <f t="shared" si="31"/>
        <v>0.99625064724065604</v>
      </c>
    </row>
    <row r="463" spans="1:15" x14ac:dyDescent="0.2">
      <c r="A463" t="s">
        <v>31</v>
      </c>
      <c r="B463" t="s">
        <v>32</v>
      </c>
      <c r="C463" t="s">
        <v>33</v>
      </c>
      <c r="D463" t="s">
        <v>34</v>
      </c>
      <c r="E463" t="s">
        <v>35</v>
      </c>
      <c r="F463" s="1">
        <v>45413</v>
      </c>
      <c r="G463" t="s">
        <v>21</v>
      </c>
      <c r="H463" s="2">
        <v>64208.44</v>
      </c>
      <c r="I463" s="2">
        <v>63529.99</v>
      </c>
      <c r="J463" s="2">
        <v>65933.33</v>
      </c>
      <c r="K463" s="2">
        <v>64840.86</v>
      </c>
      <c r="L463" s="2">
        <f t="shared" si="28"/>
        <v>-678.45000000000437</v>
      </c>
      <c r="M463" s="4">
        <f t="shared" si="29"/>
        <v>-1.056636791051152E-2</v>
      </c>
      <c r="N463" s="2">
        <f t="shared" si="30"/>
        <v>2403.3400000000038</v>
      </c>
      <c r="O463" s="6">
        <f t="shared" si="31"/>
        <v>1.0378300075287279</v>
      </c>
    </row>
    <row r="464" spans="1:15" x14ac:dyDescent="0.2">
      <c r="A464" t="s">
        <v>31</v>
      </c>
      <c r="B464" t="s">
        <v>32</v>
      </c>
      <c r="C464" t="s">
        <v>33</v>
      </c>
      <c r="D464" t="s">
        <v>34</v>
      </c>
      <c r="E464" t="s">
        <v>35</v>
      </c>
      <c r="F464" s="1">
        <v>45444</v>
      </c>
      <c r="G464" t="s">
        <v>16</v>
      </c>
      <c r="H464" s="2">
        <v>376953.25</v>
      </c>
      <c r="I464" s="2">
        <v>376032.86</v>
      </c>
      <c r="J464" s="2">
        <v>377620.14</v>
      </c>
      <c r="K464" s="2">
        <v>377821.4</v>
      </c>
      <c r="L464" s="2">
        <f t="shared" si="28"/>
        <v>-920.39000000001397</v>
      </c>
      <c r="M464" s="4">
        <f t="shared" si="29"/>
        <v>-2.441655563388866E-3</v>
      </c>
      <c r="N464" s="2">
        <f t="shared" si="30"/>
        <v>1587.2800000000279</v>
      </c>
      <c r="O464" s="6">
        <f t="shared" si="31"/>
        <v>1.0042211204627172</v>
      </c>
    </row>
    <row r="465" spans="1:15" x14ac:dyDescent="0.2">
      <c r="A465" t="s">
        <v>31</v>
      </c>
      <c r="B465" t="s">
        <v>32</v>
      </c>
      <c r="C465" t="s">
        <v>33</v>
      </c>
      <c r="D465" t="s">
        <v>34</v>
      </c>
      <c r="E465" t="s">
        <v>35</v>
      </c>
      <c r="F465" s="1">
        <v>45444</v>
      </c>
      <c r="G465" t="s">
        <v>17</v>
      </c>
      <c r="H465" s="2">
        <v>297805.98</v>
      </c>
      <c r="I465" s="2">
        <v>293349.19</v>
      </c>
      <c r="J465" s="2">
        <v>304127.62</v>
      </c>
      <c r="K465" s="2">
        <v>300015.03999999998</v>
      </c>
      <c r="L465" s="2">
        <f t="shared" si="28"/>
        <v>-4456.789999999979</v>
      </c>
      <c r="M465" s="4">
        <f t="shared" si="29"/>
        <v>-1.4965414730758526E-2</v>
      </c>
      <c r="N465" s="2">
        <f t="shared" si="30"/>
        <v>10778.429999999993</v>
      </c>
      <c r="O465" s="6">
        <f t="shared" si="31"/>
        <v>1.0367426615358986</v>
      </c>
    </row>
    <row r="466" spans="1:15" x14ac:dyDescent="0.2">
      <c r="A466" t="s">
        <v>31</v>
      </c>
      <c r="B466" t="s">
        <v>32</v>
      </c>
      <c r="C466" t="s">
        <v>33</v>
      </c>
      <c r="D466" t="s">
        <v>34</v>
      </c>
      <c r="E466" t="s">
        <v>35</v>
      </c>
      <c r="F466" s="1">
        <v>45444</v>
      </c>
      <c r="G466" t="s">
        <v>18</v>
      </c>
      <c r="H466" s="2">
        <v>242310.96</v>
      </c>
      <c r="I466" s="2">
        <v>238596.75</v>
      </c>
      <c r="J466" s="2">
        <v>244589.7</v>
      </c>
      <c r="K466" s="2">
        <v>238763.16</v>
      </c>
      <c r="L466" s="2">
        <f t="shared" si="28"/>
        <v>-3714.2099999999919</v>
      </c>
      <c r="M466" s="4">
        <f t="shared" si="29"/>
        <v>-1.5328279001494576E-2</v>
      </c>
      <c r="N466" s="2">
        <f t="shared" si="30"/>
        <v>5992.9500000000116</v>
      </c>
      <c r="O466" s="6">
        <f t="shared" si="31"/>
        <v>1.0251174837880233</v>
      </c>
    </row>
    <row r="467" spans="1:15" x14ac:dyDescent="0.2">
      <c r="A467" t="s">
        <v>31</v>
      </c>
      <c r="B467" t="s">
        <v>32</v>
      </c>
      <c r="C467" t="s">
        <v>33</v>
      </c>
      <c r="D467" t="s">
        <v>34</v>
      </c>
      <c r="E467" t="s">
        <v>35</v>
      </c>
      <c r="F467" s="1">
        <v>45444</v>
      </c>
      <c r="G467" t="s">
        <v>19</v>
      </c>
      <c r="H467" s="2">
        <v>177832.98</v>
      </c>
      <c r="I467" s="2">
        <v>176022.12</v>
      </c>
      <c r="J467" s="2">
        <v>181585.95</v>
      </c>
      <c r="K467" s="2">
        <v>175857.57</v>
      </c>
      <c r="L467" s="2">
        <f t="shared" si="28"/>
        <v>-1810.8600000000151</v>
      </c>
      <c r="M467" s="4">
        <f t="shared" si="29"/>
        <v>-1.0182925574322687E-2</v>
      </c>
      <c r="N467" s="2">
        <f t="shared" si="30"/>
        <v>5563.8300000000163</v>
      </c>
      <c r="O467" s="6">
        <f t="shared" si="31"/>
        <v>1.0316086978159338</v>
      </c>
    </row>
    <row r="468" spans="1:15" x14ac:dyDescent="0.2">
      <c r="A468" t="s">
        <v>31</v>
      </c>
      <c r="B468" t="s">
        <v>32</v>
      </c>
      <c r="C468" t="s">
        <v>33</v>
      </c>
      <c r="D468" t="s">
        <v>34</v>
      </c>
      <c r="E468" t="s">
        <v>35</v>
      </c>
      <c r="F468" s="1">
        <v>45444</v>
      </c>
      <c r="G468" t="s">
        <v>20</v>
      </c>
      <c r="H468" s="2">
        <v>41201.1</v>
      </c>
      <c r="I468" s="2">
        <v>41175.07</v>
      </c>
      <c r="J468" s="2">
        <v>41120.86</v>
      </c>
      <c r="K468" s="2">
        <v>41576.28</v>
      </c>
      <c r="L468" s="2">
        <f t="shared" si="28"/>
        <v>-26.029999999998836</v>
      </c>
      <c r="M468" s="4">
        <f t="shared" si="29"/>
        <v>-6.3177924861226615E-4</v>
      </c>
      <c r="N468" s="2">
        <f t="shared" si="30"/>
        <v>-54.209999999999127</v>
      </c>
      <c r="O468" s="6">
        <f t="shared" si="31"/>
        <v>0.99868342664626919</v>
      </c>
    </row>
    <row r="469" spans="1:15" x14ac:dyDescent="0.2">
      <c r="A469" t="s">
        <v>31</v>
      </c>
      <c r="B469" t="s">
        <v>32</v>
      </c>
      <c r="C469" t="s">
        <v>33</v>
      </c>
      <c r="D469" t="s">
        <v>34</v>
      </c>
      <c r="E469" t="s">
        <v>35</v>
      </c>
      <c r="F469" s="1">
        <v>45444</v>
      </c>
      <c r="G469" t="s">
        <v>21</v>
      </c>
      <c r="H469" s="2">
        <v>63984.03</v>
      </c>
      <c r="I469" s="2">
        <v>65795.56</v>
      </c>
      <c r="J469" s="2">
        <v>63472.480000000003</v>
      </c>
      <c r="K469" s="2">
        <v>65528.87</v>
      </c>
      <c r="L469" s="2">
        <f t="shared" si="28"/>
        <v>1811.5299999999988</v>
      </c>
      <c r="M469" s="4">
        <f t="shared" si="29"/>
        <v>2.831222103390485E-2</v>
      </c>
      <c r="N469" s="2">
        <f t="shared" si="30"/>
        <v>-2323.0799999999945</v>
      </c>
      <c r="O469" s="6">
        <f t="shared" si="31"/>
        <v>0.96469245037203122</v>
      </c>
    </row>
    <row r="470" spans="1:15" x14ac:dyDescent="0.2">
      <c r="A470" t="s">
        <v>31</v>
      </c>
      <c r="B470" t="s">
        <v>32</v>
      </c>
      <c r="C470" t="s">
        <v>33</v>
      </c>
      <c r="D470" t="s">
        <v>34</v>
      </c>
      <c r="E470" t="s">
        <v>35</v>
      </c>
      <c r="F470" s="1">
        <v>45474</v>
      </c>
      <c r="G470" t="s">
        <v>16</v>
      </c>
      <c r="H470" s="2">
        <v>400370.22</v>
      </c>
      <c r="I470" s="2">
        <v>410741.3</v>
      </c>
      <c r="J470" s="2">
        <v>407465.84</v>
      </c>
      <c r="K470" s="2">
        <v>403964.46</v>
      </c>
      <c r="L470" s="2">
        <f t="shared" si="28"/>
        <v>10371.080000000016</v>
      </c>
      <c r="M470" s="4">
        <f t="shared" si="29"/>
        <v>2.5903724807504455E-2</v>
      </c>
      <c r="N470" s="2">
        <f t="shared" si="30"/>
        <v>-3275.4599999999627</v>
      </c>
      <c r="O470" s="6">
        <f t="shared" si="31"/>
        <v>0.99202549147115238</v>
      </c>
    </row>
    <row r="471" spans="1:15" x14ac:dyDescent="0.2">
      <c r="A471" t="s">
        <v>31</v>
      </c>
      <c r="B471" t="s">
        <v>32</v>
      </c>
      <c r="C471" t="s">
        <v>33</v>
      </c>
      <c r="D471" t="s">
        <v>34</v>
      </c>
      <c r="E471" t="s">
        <v>35</v>
      </c>
      <c r="F471" s="1">
        <v>45474</v>
      </c>
      <c r="G471" t="s">
        <v>17</v>
      </c>
      <c r="H471" s="2">
        <v>316130.48</v>
      </c>
      <c r="I471" s="2">
        <v>309806.34000000003</v>
      </c>
      <c r="J471" s="2">
        <v>322763.42</v>
      </c>
      <c r="K471" s="2">
        <v>309818.03000000003</v>
      </c>
      <c r="L471" s="2">
        <f t="shared" si="28"/>
        <v>-6324.1399999999558</v>
      </c>
      <c r="M471" s="4">
        <f t="shared" si="29"/>
        <v>-2.000484103905437E-2</v>
      </c>
      <c r="N471" s="2">
        <f t="shared" si="30"/>
        <v>12957.079999999958</v>
      </c>
      <c r="O471" s="6">
        <f t="shared" si="31"/>
        <v>1.0418231595906009</v>
      </c>
    </row>
    <row r="472" spans="1:15" x14ac:dyDescent="0.2">
      <c r="A472" t="s">
        <v>31</v>
      </c>
      <c r="B472" t="s">
        <v>32</v>
      </c>
      <c r="C472" t="s">
        <v>33</v>
      </c>
      <c r="D472" t="s">
        <v>34</v>
      </c>
      <c r="E472" t="s">
        <v>35</v>
      </c>
      <c r="F472" s="1">
        <v>45474</v>
      </c>
      <c r="G472" t="s">
        <v>18</v>
      </c>
      <c r="H472" s="2">
        <v>247811.59</v>
      </c>
      <c r="I472" s="2">
        <v>246006.93</v>
      </c>
      <c r="J472" s="2">
        <v>247691.07</v>
      </c>
      <c r="K472" s="2">
        <v>244292.22</v>
      </c>
      <c r="L472" s="2">
        <f t="shared" si="28"/>
        <v>-1804.6600000000035</v>
      </c>
      <c r="M472" s="4">
        <f t="shared" si="29"/>
        <v>-7.2823873976193103E-3</v>
      </c>
      <c r="N472" s="2">
        <f t="shared" si="30"/>
        <v>1684.140000000014</v>
      </c>
      <c r="O472" s="6">
        <f t="shared" si="31"/>
        <v>1.0068459047068308</v>
      </c>
    </row>
    <row r="473" spans="1:15" x14ac:dyDescent="0.2">
      <c r="A473" t="s">
        <v>31</v>
      </c>
      <c r="B473" t="s">
        <v>32</v>
      </c>
      <c r="C473" t="s">
        <v>33</v>
      </c>
      <c r="D473" t="s">
        <v>34</v>
      </c>
      <c r="E473" t="s">
        <v>35</v>
      </c>
      <c r="F473" s="1">
        <v>45474</v>
      </c>
      <c r="G473" t="s">
        <v>19</v>
      </c>
      <c r="H473" s="2">
        <v>178834.36</v>
      </c>
      <c r="I473" s="2">
        <v>177467.04</v>
      </c>
      <c r="J473" s="2">
        <v>179891.24</v>
      </c>
      <c r="K473" s="2">
        <v>180334.91</v>
      </c>
      <c r="L473" s="2">
        <f t="shared" si="28"/>
        <v>-1367.3199999999779</v>
      </c>
      <c r="M473" s="4">
        <f t="shared" si="29"/>
        <v>-7.6457342984870358E-3</v>
      </c>
      <c r="N473" s="2">
        <f t="shared" si="30"/>
        <v>2424.1999999999825</v>
      </c>
      <c r="O473" s="6">
        <f t="shared" si="31"/>
        <v>1.0136600013163006</v>
      </c>
    </row>
    <row r="474" spans="1:15" x14ac:dyDescent="0.2">
      <c r="A474" t="s">
        <v>31</v>
      </c>
      <c r="B474" t="s">
        <v>32</v>
      </c>
      <c r="C474" t="s">
        <v>33</v>
      </c>
      <c r="D474" t="s">
        <v>34</v>
      </c>
      <c r="E474" t="s">
        <v>35</v>
      </c>
      <c r="F474" s="1">
        <v>45474</v>
      </c>
      <c r="G474" t="s">
        <v>20</v>
      </c>
      <c r="H474" s="2">
        <v>41046.65</v>
      </c>
      <c r="I474" s="2">
        <v>41469.26</v>
      </c>
      <c r="J474" s="2">
        <v>40959.89</v>
      </c>
      <c r="K474" s="2">
        <v>42036.98</v>
      </c>
      <c r="L474" s="2">
        <f t="shared" si="28"/>
        <v>422.61000000000058</v>
      </c>
      <c r="M474" s="4">
        <f t="shared" si="29"/>
        <v>1.0295846311452958E-2</v>
      </c>
      <c r="N474" s="2">
        <f t="shared" si="30"/>
        <v>-509.37000000000262</v>
      </c>
      <c r="O474" s="6">
        <f t="shared" si="31"/>
        <v>0.9877169257421039</v>
      </c>
    </row>
    <row r="475" spans="1:15" x14ac:dyDescent="0.2">
      <c r="A475" t="s">
        <v>31</v>
      </c>
      <c r="B475" t="s">
        <v>32</v>
      </c>
      <c r="C475" t="s">
        <v>33</v>
      </c>
      <c r="D475" t="s">
        <v>34</v>
      </c>
      <c r="E475" t="s">
        <v>35</v>
      </c>
      <c r="F475" s="1">
        <v>45474</v>
      </c>
      <c r="G475" t="s">
        <v>21</v>
      </c>
      <c r="H475" s="2">
        <v>64298.28</v>
      </c>
      <c r="I475" s="2">
        <v>65351.21</v>
      </c>
      <c r="J475" s="2">
        <v>66118.179999999993</v>
      </c>
      <c r="K475" s="2">
        <v>65559.850000000006</v>
      </c>
      <c r="L475" s="2">
        <f t="shared" si="28"/>
        <v>1052.9300000000003</v>
      </c>
      <c r="M475" s="4">
        <f t="shared" si="29"/>
        <v>1.6375710205622923E-2</v>
      </c>
      <c r="N475" s="2">
        <f t="shared" si="30"/>
        <v>766.96999999999389</v>
      </c>
      <c r="O475" s="6">
        <f t="shared" si="31"/>
        <v>1.0117361254673019</v>
      </c>
    </row>
    <row r="476" spans="1:15" x14ac:dyDescent="0.2">
      <c r="A476" t="s">
        <v>31</v>
      </c>
      <c r="B476" t="s">
        <v>32</v>
      </c>
      <c r="C476" t="s">
        <v>33</v>
      </c>
      <c r="D476" t="s">
        <v>34</v>
      </c>
      <c r="E476" t="s">
        <v>35</v>
      </c>
      <c r="F476" s="1">
        <v>45505</v>
      </c>
      <c r="G476" t="s">
        <v>16</v>
      </c>
      <c r="H476" s="2">
        <v>388051.13</v>
      </c>
      <c r="I476" s="2">
        <v>401181.91</v>
      </c>
      <c r="J476" s="2">
        <v>396401.68</v>
      </c>
      <c r="K476" s="2">
        <v>400411.33</v>
      </c>
      <c r="L476" s="2">
        <f t="shared" si="28"/>
        <v>13130.77999999997</v>
      </c>
      <c r="M476" s="4">
        <f t="shared" si="29"/>
        <v>3.3837757410988517E-2</v>
      </c>
      <c r="N476" s="2">
        <f t="shared" si="30"/>
        <v>-4780.2299999999814</v>
      </c>
      <c r="O476" s="6">
        <f t="shared" si="31"/>
        <v>0.98808463223080023</v>
      </c>
    </row>
    <row r="477" spans="1:15" x14ac:dyDescent="0.2">
      <c r="A477" t="s">
        <v>31</v>
      </c>
      <c r="B477" t="s">
        <v>32</v>
      </c>
      <c r="C477" t="s">
        <v>33</v>
      </c>
      <c r="D477" t="s">
        <v>34</v>
      </c>
      <c r="E477" t="s">
        <v>35</v>
      </c>
      <c r="F477" s="1">
        <v>45505</v>
      </c>
      <c r="G477" t="s">
        <v>17</v>
      </c>
      <c r="H477" s="2">
        <v>299417.49</v>
      </c>
      <c r="I477" s="2">
        <v>295309.09999999998</v>
      </c>
      <c r="J477" s="2">
        <v>301626.77</v>
      </c>
      <c r="K477" s="2">
        <v>299219.5</v>
      </c>
      <c r="L477" s="2">
        <f t="shared" si="28"/>
        <v>-4108.390000000014</v>
      </c>
      <c r="M477" s="4">
        <f t="shared" si="29"/>
        <v>-1.3721275934816013E-2</v>
      </c>
      <c r="N477" s="2">
        <f t="shared" si="30"/>
        <v>6317.6700000000419</v>
      </c>
      <c r="O477" s="6">
        <f t="shared" si="31"/>
        <v>1.0213934145612176</v>
      </c>
    </row>
    <row r="478" spans="1:15" x14ac:dyDescent="0.2">
      <c r="A478" t="s">
        <v>31</v>
      </c>
      <c r="B478" t="s">
        <v>32</v>
      </c>
      <c r="C478" t="s">
        <v>33</v>
      </c>
      <c r="D478" t="s">
        <v>34</v>
      </c>
      <c r="E478" t="s">
        <v>35</v>
      </c>
      <c r="F478" s="1">
        <v>45505</v>
      </c>
      <c r="G478" t="s">
        <v>18</v>
      </c>
      <c r="H478" s="2">
        <v>243548.45</v>
      </c>
      <c r="I478" s="2">
        <v>237006.75</v>
      </c>
      <c r="J478" s="2">
        <v>244628.32</v>
      </c>
      <c r="K478" s="2">
        <v>239849.39</v>
      </c>
      <c r="L478" s="2">
        <f t="shared" si="28"/>
        <v>-6541.7000000000116</v>
      </c>
      <c r="M478" s="4">
        <f t="shared" si="29"/>
        <v>-2.6859953327561768E-2</v>
      </c>
      <c r="N478" s="2">
        <f t="shared" si="30"/>
        <v>7621.570000000007</v>
      </c>
      <c r="O478" s="6">
        <f t="shared" si="31"/>
        <v>1.0321576073255299</v>
      </c>
    </row>
    <row r="479" spans="1:15" x14ac:dyDescent="0.2">
      <c r="A479" t="s">
        <v>31</v>
      </c>
      <c r="B479" t="s">
        <v>32</v>
      </c>
      <c r="C479" t="s">
        <v>33</v>
      </c>
      <c r="D479" t="s">
        <v>34</v>
      </c>
      <c r="E479" t="s">
        <v>35</v>
      </c>
      <c r="F479" s="1">
        <v>45505</v>
      </c>
      <c r="G479" t="s">
        <v>19</v>
      </c>
      <c r="H479" s="2">
        <v>174794.61</v>
      </c>
      <c r="I479" s="2">
        <v>176322.94</v>
      </c>
      <c r="J479" s="2">
        <v>174848.8</v>
      </c>
      <c r="K479" s="2">
        <v>174060.94</v>
      </c>
      <c r="L479" s="2">
        <f t="shared" si="28"/>
        <v>1528.3300000000163</v>
      </c>
      <c r="M479" s="4">
        <f t="shared" si="29"/>
        <v>8.7435762464301188E-3</v>
      </c>
      <c r="N479" s="2">
        <f t="shared" si="30"/>
        <v>-1474.140000000014</v>
      </c>
      <c r="O479" s="6">
        <f t="shared" si="31"/>
        <v>0.99163954503027218</v>
      </c>
    </row>
    <row r="480" spans="1:15" x14ac:dyDescent="0.2">
      <c r="A480" t="s">
        <v>31</v>
      </c>
      <c r="B480" t="s">
        <v>32</v>
      </c>
      <c r="C480" t="s">
        <v>33</v>
      </c>
      <c r="D480" t="s">
        <v>34</v>
      </c>
      <c r="E480" t="s">
        <v>35</v>
      </c>
      <c r="F480" s="1">
        <v>45505</v>
      </c>
      <c r="G480" t="s">
        <v>20</v>
      </c>
      <c r="H480" s="2">
        <v>41322.11</v>
      </c>
      <c r="I480" s="2">
        <v>41264.870000000003</v>
      </c>
      <c r="J480" s="2">
        <v>40955.730000000003</v>
      </c>
      <c r="K480" s="2">
        <v>41134.76</v>
      </c>
      <c r="L480" s="2">
        <f t="shared" si="28"/>
        <v>-57.239999999997963</v>
      </c>
      <c r="M480" s="4">
        <f t="shared" si="29"/>
        <v>-1.3852148401908315E-3</v>
      </c>
      <c r="N480" s="2">
        <f t="shared" si="30"/>
        <v>-309.13999999999942</v>
      </c>
      <c r="O480" s="6">
        <f t="shared" si="31"/>
        <v>0.99250839757886067</v>
      </c>
    </row>
    <row r="481" spans="1:15" x14ac:dyDescent="0.2">
      <c r="A481" t="s">
        <v>31</v>
      </c>
      <c r="B481" t="s">
        <v>32</v>
      </c>
      <c r="C481" t="s">
        <v>33</v>
      </c>
      <c r="D481" t="s">
        <v>34</v>
      </c>
      <c r="E481" t="s">
        <v>35</v>
      </c>
      <c r="F481" s="1">
        <v>45505</v>
      </c>
      <c r="G481" t="s">
        <v>21</v>
      </c>
      <c r="H481" s="2">
        <v>66083.17</v>
      </c>
      <c r="I481" s="2">
        <v>66006.12</v>
      </c>
      <c r="J481" s="2">
        <v>65729.16</v>
      </c>
      <c r="K481" s="2">
        <v>65864.38</v>
      </c>
      <c r="L481" s="2">
        <f t="shared" si="28"/>
        <v>-77.05000000000291</v>
      </c>
      <c r="M481" s="4">
        <f t="shared" si="29"/>
        <v>-1.1659549625116789E-3</v>
      </c>
      <c r="N481" s="2">
        <f t="shared" si="30"/>
        <v>-276.95999999999185</v>
      </c>
      <c r="O481" s="6">
        <f t="shared" si="31"/>
        <v>0.99580402544491342</v>
      </c>
    </row>
    <row r="482" spans="1:15" x14ac:dyDescent="0.2">
      <c r="A482" t="s">
        <v>31</v>
      </c>
      <c r="B482" t="s">
        <v>32</v>
      </c>
      <c r="C482" t="s">
        <v>33</v>
      </c>
      <c r="D482" t="s">
        <v>34</v>
      </c>
      <c r="E482" t="s">
        <v>35</v>
      </c>
      <c r="F482" s="1">
        <v>45536</v>
      </c>
      <c r="G482" t="s">
        <v>16</v>
      </c>
      <c r="H482" s="2">
        <v>396685.92</v>
      </c>
      <c r="I482" s="2">
        <v>408418.91</v>
      </c>
      <c r="J482" s="2">
        <v>372890.22</v>
      </c>
      <c r="K482" s="2">
        <v>403506.2</v>
      </c>
      <c r="L482" s="2">
        <f t="shared" si="28"/>
        <v>11732.989999999991</v>
      </c>
      <c r="M482" s="4">
        <f t="shared" si="29"/>
        <v>2.9577530757834789E-2</v>
      </c>
      <c r="N482" s="2">
        <f t="shared" si="30"/>
        <v>-35528.69</v>
      </c>
      <c r="O482" s="6">
        <f t="shared" si="31"/>
        <v>0.91300919440777117</v>
      </c>
    </row>
    <row r="483" spans="1:15" x14ac:dyDescent="0.2">
      <c r="A483" t="s">
        <v>31</v>
      </c>
      <c r="B483" t="s">
        <v>32</v>
      </c>
      <c r="C483" t="s">
        <v>33</v>
      </c>
      <c r="D483" t="s">
        <v>34</v>
      </c>
      <c r="E483" t="s">
        <v>35</v>
      </c>
      <c r="F483" s="1">
        <v>45536</v>
      </c>
      <c r="G483" t="s">
        <v>17</v>
      </c>
      <c r="H483" s="2">
        <v>322604.93</v>
      </c>
      <c r="I483" s="2">
        <v>312766.52</v>
      </c>
      <c r="J483" s="2">
        <v>308912.40000000002</v>
      </c>
      <c r="K483" s="2">
        <v>318079.46999999997</v>
      </c>
      <c r="L483" s="2">
        <f t="shared" si="28"/>
        <v>-9838.4099999999744</v>
      </c>
      <c r="M483" s="4">
        <f t="shared" si="29"/>
        <v>-3.0496775111279219E-2</v>
      </c>
      <c r="N483" s="2">
        <f t="shared" si="30"/>
        <v>-3854.1199999999953</v>
      </c>
      <c r="O483" s="6">
        <f t="shared" si="31"/>
        <v>0.98767732556540899</v>
      </c>
    </row>
    <row r="484" spans="1:15" x14ac:dyDescent="0.2">
      <c r="A484" t="s">
        <v>31</v>
      </c>
      <c r="B484" t="s">
        <v>32</v>
      </c>
      <c r="C484" t="s">
        <v>33</v>
      </c>
      <c r="D484" t="s">
        <v>34</v>
      </c>
      <c r="E484" t="s">
        <v>35</v>
      </c>
      <c r="F484" s="1">
        <v>45536</v>
      </c>
      <c r="G484" t="s">
        <v>18</v>
      </c>
      <c r="H484" s="2">
        <v>253282.4</v>
      </c>
      <c r="I484" s="2">
        <v>255074.02</v>
      </c>
      <c r="J484" s="2">
        <v>237796.36</v>
      </c>
      <c r="K484" s="2">
        <v>258644.08</v>
      </c>
      <c r="L484" s="2">
        <f t="shared" si="28"/>
        <v>1791.6199999999953</v>
      </c>
      <c r="M484" s="4">
        <f t="shared" si="29"/>
        <v>7.0736063777032884E-3</v>
      </c>
      <c r="N484" s="2">
        <f t="shared" si="30"/>
        <v>-17277.660000000003</v>
      </c>
      <c r="O484" s="6">
        <f t="shared" si="31"/>
        <v>0.93226413258394558</v>
      </c>
    </row>
    <row r="485" spans="1:15" x14ac:dyDescent="0.2">
      <c r="A485" t="s">
        <v>31</v>
      </c>
      <c r="B485" t="s">
        <v>32</v>
      </c>
      <c r="C485" t="s">
        <v>33</v>
      </c>
      <c r="D485" t="s">
        <v>34</v>
      </c>
      <c r="E485" t="s">
        <v>35</v>
      </c>
      <c r="F485" s="1">
        <v>45536</v>
      </c>
      <c r="G485" t="s">
        <v>19</v>
      </c>
      <c r="H485" s="2">
        <v>175450.49</v>
      </c>
      <c r="I485" s="2">
        <v>174759.56</v>
      </c>
      <c r="J485" s="2">
        <v>168690.54</v>
      </c>
      <c r="K485" s="2">
        <v>175489.03</v>
      </c>
      <c r="L485" s="2">
        <f t="shared" si="28"/>
        <v>-690.92999999999302</v>
      </c>
      <c r="M485" s="4">
        <f t="shared" si="29"/>
        <v>-3.9380340288590419E-3</v>
      </c>
      <c r="N485" s="2">
        <f t="shared" si="30"/>
        <v>-6069.0199999999895</v>
      </c>
      <c r="O485" s="6">
        <f t="shared" si="31"/>
        <v>0.96527217166259749</v>
      </c>
    </row>
    <row r="486" spans="1:15" x14ac:dyDescent="0.2">
      <c r="A486" t="s">
        <v>31</v>
      </c>
      <c r="B486" t="s">
        <v>32</v>
      </c>
      <c r="C486" t="s">
        <v>33</v>
      </c>
      <c r="D486" t="s">
        <v>34</v>
      </c>
      <c r="E486" t="s">
        <v>35</v>
      </c>
      <c r="F486" s="1">
        <v>45536</v>
      </c>
      <c r="G486" t="s">
        <v>20</v>
      </c>
      <c r="H486" s="2">
        <v>43042.39</v>
      </c>
      <c r="I486" s="2">
        <v>43698.13</v>
      </c>
      <c r="J486" s="2">
        <v>39384.93</v>
      </c>
      <c r="K486" s="2">
        <v>43723.31</v>
      </c>
      <c r="L486" s="2">
        <f t="shared" si="28"/>
        <v>655.73999999999796</v>
      </c>
      <c r="M486" s="4">
        <f t="shared" si="29"/>
        <v>1.5234748813901784E-2</v>
      </c>
      <c r="N486" s="2">
        <f t="shared" si="30"/>
        <v>-4313.1999999999971</v>
      </c>
      <c r="O486" s="6">
        <f t="shared" si="31"/>
        <v>0.90129554742960405</v>
      </c>
    </row>
    <row r="487" spans="1:15" x14ac:dyDescent="0.2">
      <c r="A487" t="s">
        <v>31</v>
      </c>
      <c r="B487" t="s">
        <v>32</v>
      </c>
      <c r="C487" t="s">
        <v>33</v>
      </c>
      <c r="D487" t="s">
        <v>34</v>
      </c>
      <c r="E487" t="s">
        <v>35</v>
      </c>
      <c r="F487" s="1">
        <v>45536</v>
      </c>
      <c r="G487" t="s">
        <v>21</v>
      </c>
      <c r="H487" s="2">
        <v>63493.26</v>
      </c>
      <c r="I487" s="2">
        <v>64814.87</v>
      </c>
      <c r="J487" s="2">
        <v>58290.22</v>
      </c>
      <c r="K487" s="2">
        <v>64540.41</v>
      </c>
      <c r="L487" s="2">
        <f t="shared" si="28"/>
        <v>1321.6100000000006</v>
      </c>
      <c r="M487" s="4">
        <f t="shared" si="29"/>
        <v>2.0814965241980024E-2</v>
      </c>
      <c r="N487" s="2">
        <f t="shared" si="30"/>
        <v>-6524.6500000000015</v>
      </c>
      <c r="O487" s="6">
        <f t="shared" si="31"/>
        <v>0.89933405713843129</v>
      </c>
    </row>
    <row r="488" spans="1:15" x14ac:dyDescent="0.2">
      <c r="A488" t="s">
        <v>31</v>
      </c>
      <c r="B488" t="s">
        <v>32</v>
      </c>
      <c r="C488" t="s">
        <v>33</v>
      </c>
      <c r="D488" t="s">
        <v>34</v>
      </c>
      <c r="E488" t="s">
        <v>35</v>
      </c>
      <c r="F488" s="1">
        <v>45566</v>
      </c>
      <c r="G488" t="s">
        <v>16</v>
      </c>
      <c r="H488" s="2">
        <v>401075.87</v>
      </c>
      <c r="I488" s="2">
        <v>398620.15999999997</v>
      </c>
      <c r="J488" s="2">
        <v>379815.33</v>
      </c>
      <c r="K488" s="2">
        <v>396526.17</v>
      </c>
      <c r="L488" s="2">
        <f t="shared" si="28"/>
        <v>-2455.710000000021</v>
      </c>
      <c r="M488" s="4">
        <f t="shared" si="29"/>
        <v>-6.122806640050475E-3</v>
      </c>
      <c r="N488" s="2">
        <f t="shared" si="30"/>
        <v>-18804.829999999958</v>
      </c>
      <c r="O488" s="6">
        <f t="shared" si="31"/>
        <v>0.95282519077810823</v>
      </c>
    </row>
    <row r="489" spans="1:15" x14ac:dyDescent="0.2">
      <c r="A489" t="s">
        <v>31</v>
      </c>
      <c r="B489" t="s">
        <v>32</v>
      </c>
      <c r="C489" t="s">
        <v>33</v>
      </c>
      <c r="D489" t="s">
        <v>34</v>
      </c>
      <c r="E489" t="s">
        <v>35</v>
      </c>
      <c r="F489" s="1">
        <v>45566</v>
      </c>
      <c r="G489" t="s">
        <v>17</v>
      </c>
      <c r="H489" s="2">
        <v>308594.78000000003</v>
      </c>
      <c r="I489" s="2">
        <v>306510.12</v>
      </c>
      <c r="J489" s="2">
        <v>299409.31</v>
      </c>
      <c r="K489" s="2">
        <v>308448.25</v>
      </c>
      <c r="L489" s="2">
        <f t="shared" si="28"/>
        <v>-2084.6600000000326</v>
      </c>
      <c r="M489" s="4">
        <f t="shared" si="29"/>
        <v>-6.7553313766358343E-3</v>
      </c>
      <c r="N489" s="2">
        <f t="shared" si="30"/>
        <v>-7100.8099999999977</v>
      </c>
      <c r="O489" s="6">
        <f t="shared" si="31"/>
        <v>0.97683335871585575</v>
      </c>
    </row>
    <row r="490" spans="1:15" x14ac:dyDescent="0.2">
      <c r="A490" t="s">
        <v>31</v>
      </c>
      <c r="B490" t="s">
        <v>32</v>
      </c>
      <c r="C490" t="s">
        <v>33</v>
      </c>
      <c r="D490" t="s">
        <v>34</v>
      </c>
      <c r="E490" t="s">
        <v>35</v>
      </c>
      <c r="F490" s="1">
        <v>45566</v>
      </c>
      <c r="G490" t="s">
        <v>18</v>
      </c>
      <c r="H490" s="2">
        <v>247965.62</v>
      </c>
      <c r="I490" s="2">
        <v>251343.41</v>
      </c>
      <c r="J490" s="2">
        <v>235790.07999999999</v>
      </c>
      <c r="K490" s="2">
        <v>249086.52</v>
      </c>
      <c r="L490" s="2">
        <f t="shared" si="28"/>
        <v>3377.7900000000081</v>
      </c>
      <c r="M490" s="4">
        <f t="shared" si="29"/>
        <v>1.3622009373718857E-2</v>
      </c>
      <c r="N490" s="2">
        <f t="shared" si="30"/>
        <v>-15553.330000000016</v>
      </c>
      <c r="O490" s="6">
        <f t="shared" si="31"/>
        <v>0.93811920511462776</v>
      </c>
    </row>
    <row r="491" spans="1:15" x14ac:dyDescent="0.2">
      <c r="A491" t="s">
        <v>31</v>
      </c>
      <c r="B491" t="s">
        <v>32</v>
      </c>
      <c r="C491" t="s">
        <v>33</v>
      </c>
      <c r="D491" t="s">
        <v>34</v>
      </c>
      <c r="E491" t="s">
        <v>35</v>
      </c>
      <c r="F491" s="1">
        <v>45566</v>
      </c>
      <c r="G491" t="s">
        <v>19</v>
      </c>
      <c r="H491" s="2">
        <v>181612.19</v>
      </c>
      <c r="I491" s="2">
        <v>181929.59</v>
      </c>
      <c r="J491" s="2">
        <v>175799.02</v>
      </c>
      <c r="K491" s="2">
        <v>179924.51</v>
      </c>
      <c r="L491" s="2">
        <f t="shared" si="28"/>
        <v>317.39999999999418</v>
      </c>
      <c r="M491" s="4">
        <f t="shared" si="29"/>
        <v>1.7476800428429071E-3</v>
      </c>
      <c r="N491" s="2">
        <f t="shared" si="30"/>
        <v>-6130.570000000007</v>
      </c>
      <c r="O491" s="6">
        <f t="shared" si="31"/>
        <v>0.96630251296669223</v>
      </c>
    </row>
    <row r="492" spans="1:15" x14ac:dyDescent="0.2">
      <c r="A492" t="s">
        <v>31</v>
      </c>
      <c r="B492" t="s">
        <v>32</v>
      </c>
      <c r="C492" t="s">
        <v>33</v>
      </c>
      <c r="D492" t="s">
        <v>34</v>
      </c>
      <c r="E492" t="s">
        <v>35</v>
      </c>
      <c r="F492" s="1">
        <v>45566</v>
      </c>
      <c r="G492" t="s">
        <v>20</v>
      </c>
      <c r="H492" s="2">
        <v>42532.24</v>
      </c>
      <c r="I492" s="2">
        <v>41581.660000000003</v>
      </c>
      <c r="J492" s="2">
        <v>41157.39</v>
      </c>
      <c r="K492" s="2">
        <v>41893.31</v>
      </c>
      <c r="L492" s="2">
        <f t="shared" si="28"/>
        <v>-950.57999999999447</v>
      </c>
      <c r="M492" s="4">
        <f t="shared" si="29"/>
        <v>-2.2349634065828523E-2</v>
      </c>
      <c r="N492" s="2">
        <f t="shared" si="30"/>
        <v>-424.27000000000407</v>
      </c>
      <c r="O492" s="6">
        <f t="shared" si="31"/>
        <v>0.98979670364290406</v>
      </c>
    </row>
    <row r="493" spans="1:15" x14ac:dyDescent="0.2">
      <c r="A493" t="s">
        <v>31</v>
      </c>
      <c r="B493" t="s">
        <v>32</v>
      </c>
      <c r="C493" t="s">
        <v>33</v>
      </c>
      <c r="D493" t="s">
        <v>34</v>
      </c>
      <c r="E493" t="s">
        <v>35</v>
      </c>
      <c r="F493" s="1">
        <v>45566</v>
      </c>
      <c r="G493" t="s">
        <v>21</v>
      </c>
      <c r="H493" s="2">
        <v>66433.7</v>
      </c>
      <c r="I493" s="2">
        <v>67129.570000000007</v>
      </c>
      <c r="J493" s="2">
        <v>63884.959999999999</v>
      </c>
      <c r="K493" s="2">
        <v>67122.98</v>
      </c>
      <c r="L493" s="2">
        <f t="shared" si="28"/>
        <v>695.8700000000099</v>
      </c>
      <c r="M493" s="4">
        <f t="shared" si="29"/>
        <v>1.0474653677275387E-2</v>
      </c>
      <c r="N493" s="2">
        <f t="shared" si="30"/>
        <v>-3244.6100000000079</v>
      </c>
      <c r="O493" s="6">
        <f t="shared" si="31"/>
        <v>0.95166645637682457</v>
      </c>
    </row>
    <row r="494" spans="1:15" x14ac:dyDescent="0.2">
      <c r="A494" t="s">
        <v>31</v>
      </c>
      <c r="B494" t="s">
        <v>32</v>
      </c>
      <c r="C494" t="s">
        <v>33</v>
      </c>
      <c r="D494" t="s">
        <v>34</v>
      </c>
      <c r="E494" t="s">
        <v>35</v>
      </c>
      <c r="F494" s="1">
        <v>45597</v>
      </c>
      <c r="G494" t="s">
        <v>16</v>
      </c>
      <c r="H494" s="2">
        <v>405426.79</v>
      </c>
      <c r="I494" s="2">
        <v>403995.84</v>
      </c>
      <c r="J494" s="2">
        <v>373310.67</v>
      </c>
      <c r="K494" s="2">
        <v>403881.89</v>
      </c>
      <c r="L494" s="2">
        <f t="shared" si="28"/>
        <v>-1430.9499999999534</v>
      </c>
      <c r="M494" s="4">
        <f t="shared" si="29"/>
        <v>-3.5294904907491524E-3</v>
      </c>
      <c r="N494" s="2">
        <f t="shared" si="30"/>
        <v>-30685.170000000042</v>
      </c>
      <c r="O494" s="6">
        <f t="shared" si="31"/>
        <v>0.92404582680851355</v>
      </c>
    </row>
    <row r="495" spans="1:15" x14ac:dyDescent="0.2">
      <c r="A495" t="s">
        <v>31</v>
      </c>
      <c r="B495" t="s">
        <v>32</v>
      </c>
      <c r="C495" t="s">
        <v>33</v>
      </c>
      <c r="D495" t="s">
        <v>34</v>
      </c>
      <c r="E495" t="s">
        <v>35</v>
      </c>
      <c r="F495" s="1">
        <v>45597</v>
      </c>
      <c r="G495" t="s">
        <v>17</v>
      </c>
      <c r="H495" s="2">
        <v>323631.76</v>
      </c>
      <c r="I495" s="2">
        <v>316730.34000000003</v>
      </c>
      <c r="J495" s="2">
        <v>313364.12</v>
      </c>
      <c r="K495" s="2">
        <v>321058.78999999998</v>
      </c>
      <c r="L495" s="2">
        <f t="shared" si="28"/>
        <v>-6901.4199999999837</v>
      </c>
      <c r="M495" s="4">
        <f t="shared" si="29"/>
        <v>-2.1324915700486207E-2</v>
      </c>
      <c r="N495" s="2">
        <f t="shared" si="30"/>
        <v>-3366.2200000000303</v>
      </c>
      <c r="O495" s="6">
        <f t="shared" si="31"/>
        <v>0.98937196859637755</v>
      </c>
    </row>
    <row r="496" spans="1:15" x14ac:dyDescent="0.2">
      <c r="A496" t="s">
        <v>31</v>
      </c>
      <c r="B496" t="s">
        <v>32</v>
      </c>
      <c r="C496" t="s">
        <v>33</v>
      </c>
      <c r="D496" t="s">
        <v>34</v>
      </c>
      <c r="E496" t="s">
        <v>35</v>
      </c>
      <c r="F496" s="1">
        <v>45597</v>
      </c>
      <c r="G496" t="s">
        <v>18</v>
      </c>
      <c r="H496" s="2">
        <v>250726.42</v>
      </c>
      <c r="I496" s="2">
        <v>255306.89</v>
      </c>
      <c r="J496" s="2">
        <v>233295.3</v>
      </c>
      <c r="K496" s="2">
        <v>255050.37</v>
      </c>
      <c r="L496" s="2">
        <f t="shared" si="28"/>
        <v>4580.4700000000012</v>
      </c>
      <c r="M496" s="4">
        <f t="shared" si="29"/>
        <v>1.8268796722738675E-2</v>
      </c>
      <c r="N496" s="2">
        <f t="shared" si="30"/>
        <v>-22011.590000000026</v>
      </c>
      <c r="O496" s="6">
        <f t="shared" si="31"/>
        <v>0.91378379956764966</v>
      </c>
    </row>
    <row r="497" spans="1:15" x14ac:dyDescent="0.2">
      <c r="A497" t="s">
        <v>31</v>
      </c>
      <c r="B497" t="s">
        <v>32</v>
      </c>
      <c r="C497" t="s">
        <v>33</v>
      </c>
      <c r="D497" t="s">
        <v>34</v>
      </c>
      <c r="E497" t="s">
        <v>35</v>
      </c>
      <c r="F497" s="1">
        <v>45597</v>
      </c>
      <c r="G497" t="s">
        <v>19</v>
      </c>
      <c r="H497" s="2">
        <v>185994.06</v>
      </c>
      <c r="I497" s="2">
        <v>191445.66</v>
      </c>
      <c r="J497" s="2">
        <v>175275.01</v>
      </c>
      <c r="K497" s="2">
        <v>192054.89</v>
      </c>
      <c r="L497" s="2">
        <f t="shared" si="28"/>
        <v>5451.6000000000058</v>
      </c>
      <c r="M497" s="4">
        <f t="shared" si="29"/>
        <v>2.9310613467978527E-2</v>
      </c>
      <c r="N497" s="2">
        <f t="shared" si="30"/>
        <v>-16170.649999999994</v>
      </c>
      <c r="O497" s="6">
        <f t="shared" si="31"/>
        <v>0.91553399539065028</v>
      </c>
    </row>
    <row r="498" spans="1:15" x14ac:dyDescent="0.2">
      <c r="A498" t="s">
        <v>31</v>
      </c>
      <c r="B498" t="s">
        <v>32</v>
      </c>
      <c r="C498" t="s">
        <v>33</v>
      </c>
      <c r="D498" t="s">
        <v>34</v>
      </c>
      <c r="E498" t="s">
        <v>35</v>
      </c>
      <c r="F498" s="1">
        <v>45597</v>
      </c>
      <c r="G498" t="s">
        <v>20</v>
      </c>
      <c r="H498" s="2">
        <v>43169</v>
      </c>
      <c r="I498" s="2">
        <v>44208.86</v>
      </c>
      <c r="J498" s="2">
        <v>40988.089999999997</v>
      </c>
      <c r="K498" s="2">
        <v>43645.66</v>
      </c>
      <c r="L498" s="2">
        <f t="shared" si="28"/>
        <v>1039.8600000000006</v>
      </c>
      <c r="M498" s="4">
        <f t="shared" si="29"/>
        <v>2.4088118788945786E-2</v>
      </c>
      <c r="N498" s="2">
        <f t="shared" si="30"/>
        <v>-3220.7700000000041</v>
      </c>
      <c r="O498" s="6">
        <f t="shared" si="31"/>
        <v>0.92714650411704791</v>
      </c>
    </row>
    <row r="499" spans="1:15" x14ac:dyDescent="0.2">
      <c r="A499" t="s">
        <v>31</v>
      </c>
      <c r="B499" t="s">
        <v>32</v>
      </c>
      <c r="C499" t="s">
        <v>33</v>
      </c>
      <c r="D499" t="s">
        <v>34</v>
      </c>
      <c r="E499" t="s">
        <v>35</v>
      </c>
      <c r="F499" s="1">
        <v>45597</v>
      </c>
      <c r="G499" t="s">
        <v>21</v>
      </c>
      <c r="H499" s="2">
        <v>68964.58</v>
      </c>
      <c r="I499" s="2">
        <v>68144.62</v>
      </c>
      <c r="J499" s="2">
        <v>65476.99</v>
      </c>
      <c r="K499" s="2">
        <v>68052.91</v>
      </c>
      <c r="L499" s="2">
        <f t="shared" si="28"/>
        <v>-819.9600000000064</v>
      </c>
      <c r="M499" s="4">
        <f t="shared" si="29"/>
        <v>-1.1889581579413756E-2</v>
      </c>
      <c r="N499" s="2">
        <f t="shared" si="30"/>
        <v>-2667.6299999999974</v>
      </c>
      <c r="O499" s="6">
        <f t="shared" si="31"/>
        <v>0.96085340266040087</v>
      </c>
    </row>
    <row r="500" spans="1:15" x14ac:dyDescent="0.2">
      <c r="A500" t="s">
        <v>31</v>
      </c>
      <c r="B500" t="s">
        <v>32</v>
      </c>
      <c r="C500" t="s">
        <v>33</v>
      </c>
      <c r="D500" t="s">
        <v>34</v>
      </c>
      <c r="E500" t="s">
        <v>35</v>
      </c>
      <c r="F500" s="1">
        <v>45627</v>
      </c>
      <c r="G500" t="s">
        <v>16</v>
      </c>
      <c r="H500" s="2">
        <v>402008.38</v>
      </c>
      <c r="I500" s="2">
        <v>400198.38</v>
      </c>
      <c r="J500" s="2">
        <v>369699.69</v>
      </c>
      <c r="K500" s="2">
        <v>398243.11</v>
      </c>
      <c r="L500" s="2">
        <f t="shared" si="28"/>
        <v>-1810</v>
      </c>
      <c r="M500" s="4">
        <f t="shared" si="29"/>
        <v>-4.5023937063202509E-3</v>
      </c>
      <c r="N500" s="2">
        <f t="shared" si="30"/>
        <v>-30498.690000000002</v>
      </c>
      <c r="O500" s="6">
        <f t="shared" si="31"/>
        <v>0.9237910708184276</v>
      </c>
    </row>
    <row r="501" spans="1:15" x14ac:dyDescent="0.2">
      <c r="A501" t="s">
        <v>31</v>
      </c>
      <c r="B501" t="s">
        <v>32</v>
      </c>
      <c r="C501" t="s">
        <v>33</v>
      </c>
      <c r="D501" t="s">
        <v>34</v>
      </c>
      <c r="E501" t="s">
        <v>35</v>
      </c>
      <c r="F501" s="1">
        <v>45627</v>
      </c>
      <c r="G501" t="s">
        <v>17</v>
      </c>
      <c r="H501" s="2">
        <v>320520.17</v>
      </c>
      <c r="I501" s="2">
        <v>321938.98</v>
      </c>
      <c r="J501" s="2">
        <v>296294.17</v>
      </c>
      <c r="K501" s="2">
        <v>320550.11</v>
      </c>
      <c r="L501" s="2">
        <f t="shared" si="28"/>
        <v>1418.8099999999977</v>
      </c>
      <c r="M501" s="4">
        <f t="shared" si="29"/>
        <v>4.4265856966193354E-3</v>
      </c>
      <c r="N501" s="2">
        <f t="shared" si="30"/>
        <v>-25644.809999999998</v>
      </c>
      <c r="O501" s="6">
        <f t="shared" si="31"/>
        <v>0.9203426376016971</v>
      </c>
    </row>
    <row r="502" spans="1:15" x14ac:dyDescent="0.2">
      <c r="A502" t="s">
        <v>31</v>
      </c>
      <c r="B502" t="s">
        <v>32</v>
      </c>
      <c r="C502" t="s">
        <v>33</v>
      </c>
      <c r="D502" t="s">
        <v>34</v>
      </c>
      <c r="E502" t="s">
        <v>35</v>
      </c>
      <c r="F502" s="1">
        <v>45627</v>
      </c>
      <c r="G502" t="s">
        <v>18</v>
      </c>
      <c r="H502" s="2">
        <v>241728.43</v>
      </c>
      <c r="I502" s="2">
        <v>237721.42</v>
      </c>
      <c r="J502" s="2">
        <v>224943.28</v>
      </c>
      <c r="K502" s="2">
        <v>238529.82</v>
      </c>
      <c r="L502" s="2">
        <f t="shared" si="28"/>
        <v>-4007.0099999999802</v>
      </c>
      <c r="M502" s="4">
        <f t="shared" si="29"/>
        <v>-1.6576494539760921E-2</v>
      </c>
      <c r="N502" s="2">
        <f t="shared" si="30"/>
        <v>-12778.140000000014</v>
      </c>
      <c r="O502" s="6">
        <f t="shared" si="31"/>
        <v>0.94624741851197081</v>
      </c>
    </row>
    <row r="503" spans="1:15" x14ac:dyDescent="0.2">
      <c r="A503" t="s">
        <v>31</v>
      </c>
      <c r="B503" t="s">
        <v>32</v>
      </c>
      <c r="C503" t="s">
        <v>33</v>
      </c>
      <c r="D503" t="s">
        <v>34</v>
      </c>
      <c r="E503" t="s">
        <v>35</v>
      </c>
      <c r="F503" s="1">
        <v>45627</v>
      </c>
      <c r="G503" t="s">
        <v>19</v>
      </c>
      <c r="H503" s="2">
        <v>181546.14</v>
      </c>
      <c r="I503" s="2">
        <v>178699.85</v>
      </c>
      <c r="J503" s="2">
        <v>170505.12</v>
      </c>
      <c r="K503" s="2">
        <v>181456.63</v>
      </c>
      <c r="L503" s="2">
        <f t="shared" si="28"/>
        <v>-2846.2900000000081</v>
      </c>
      <c r="M503" s="4">
        <f t="shared" si="29"/>
        <v>-1.5678052973200136E-2</v>
      </c>
      <c r="N503" s="2">
        <f t="shared" si="30"/>
        <v>-8194.7300000000105</v>
      </c>
      <c r="O503" s="6">
        <f t="shared" si="31"/>
        <v>0.95414249088625414</v>
      </c>
    </row>
    <row r="504" spans="1:15" x14ac:dyDescent="0.2">
      <c r="A504" t="s">
        <v>31</v>
      </c>
      <c r="B504" t="s">
        <v>32</v>
      </c>
      <c r="C504" t="s">
        <v>33</v>
      </c>
      <c r="D504" t="s">
        <v>34</v>
      </c>
      <c r="E504" t="s">
        <v>35</v>
      </c>
      <c r="F504" s="1">
        <v>45627</v>
      </c>
      <c r="G504" t="s">
        <v>20</v>
      </c>
      <c r="H504" s="2">
        <v>42999.040000000001</v>
      </c>
      <c r="I504" s="2">
        <v>43861.15</v>
      </c>
      <c r="J504" s="2">
        <v>41092.410000000003</v>
      </c>
      <c r="K504" s="2">
        <v>43299.06</v>
      </c>
      <c r="L504" s="2">
        <f t="shared" si="28"/>
        <v>862.11000000000058</v>
      </c>
      <c r="M504" s="4">
        <f t="shared" si="29"/>
        <v>2.0049517384574181E-2</v>
      </c>
      <c r="N504" s="2">
        <f t="shared" si="30"/>
        <v>-2768.739999999998</v>
      </c>
      <c r="O504" s="6">
        <f t="shared" si="31"/>
        <v>0.9368748881413278</v>
      </c>
    </row>
    <row r="505" spans="1:15" x14ac:dyDescent="0.2">
      <c r="A505" t="s">
        <v>31</v>
      </c>
      <c r="B505" t="s">
        <v>32</v>
      </c>
      <c r="C505" t="s">
        <v>33</v>
      </c>
      <c r="D505" t="s">
        <v>34</v>
      </c>
      <c r="E505" t="s">
        <v>35</v>
      </c>
      <c r="F505" s="1">
        <v>45627</v>
      </c>
      <c r="G505" t="s">
        <v>21</v>
      </c>
      <c r="H505" s="2">
        <v>69651.03</v>
      </c>
      <c r="I505" s="2">
        <v>69763.98</v>
      </c>
      <c r="J505" s="2">
        <v>66039.789999999994</v>
      </c>
      <c r="K505" s="2">
        <v>68903.8</v>
      </c>
      <c r="L505" s="2">
        <f t="shared" si="28"/>
        <v>112.94999999999709</v>
      </c>
      <c r="M505" s="4">
        <f t="shared" si="29"/>
        <v>1.6216558462954114E-3</v>
      </c>
      <c r="N505" s="2">
        <f t="shared" si="30"/>
        <v>-3724.1900000000023</v>
      </c>
      <c r="O505" s="6">
        <f t="shared" si="31"/>
        <v>0.94661729448348553</v>
      </c>
    </row>
    <row r="506" spans="1:15" x14ac:dyDescent="0.2">
      <c r="A506" t="s">
        <v>31</v>
      </c>
      <c r="B506" t="s">
        <v>32</v>
      </c>
      <c r="C506" t="s">
        <v>33</v>
      </c>
      <c r="D506" t="s">
        <v>34</v>
      </c>
      <c r="E506" t="s">
        <v>35</v>
      </c>
      <c r="F506" s="1">
        <v>45658</v>
      </c>
      <c r="G506" t="s">
        <v>16</v>
      </c>
      <c r="H506" s="2">
        <v>372259.71</v>
      </c>
      <c r="I506" s="2">
        <v>361822.09</v>
      </c>
      <c r="J506" s="2">
        <v>358829.74</v>
      </c>
      <c r="K506" s="2">
        <v>371343.01</v>
      </c>
      <c r="L506" s="2">
        <f t="shared" si="28"/>
        <v>-10437.619999999995</v>
      </c>
      <c r="M506" s="4">
        <f t="shared" si="29"/>
        <v>-2.8038543306231005E-2</v>
      </c>
      <c r="N506" s="2">
        <f t="shared" si="30"/>
        <v>-2992.3500000000349</v>
      </c>
      <c r="O506" s="6">
        <f t="shared" si="31"/>
        <v>0.99172977526054296</v>
      </c>
    </row>
    <row r="507" spans="1:15" x14ac:dyDescent="0.2">
      <c r="A507" t="s">
        <v>31</v>
      </c>
      <c r="B507" t="s">
        <v>32</v>
      </c>
      <c r="C507" t="s">
        <v>33</v>
      </c>
      <c r="D507" t="s">
        <v>34</v>
      </c>
      <c r="E507" t="s">
        <v>35</v>
      </c>
      <c r="F507" s="1">
        <v>45658</v>
      </c>
      <c r="G507" t="s">
        <v>17</v>
      </c>
      <c r="H507" s="2">
        <v>302968.86</v>
      </c>
      <c r="I507" s="2">
        <v>311632.15000000002</v>
      </c>
      <c r="J507" s="2">
        <v>289858.14</v>
      </c>
      <c r="K507" s="2">
        <v>306714.74</v>
      </c>
      <c r="L507" s="2">
        <f t="shared" si="28"/>
        <v>8663.2900000000373</v>
      </c>
      <c r="M507" s="4">
        <f t="shared" si="29"/>
        <v>2.8594654909418867E-2</v>
      </c>
      <c r="N507" s="2">
        <f t="shared" si="30"/>
        <v>-21774.010000000009</v>
      </c>
      <c r="O507" s="6">
        <f t="shared" si="31"/>
        <v>0.93012912820451932</v>
      </c>
    </row>
    <row r="508" spans="1:15" x14ac:dyDescent="0.2">
      <c r="A508" t="s">
        <v>31</v>
      </c>
      <c r="B508" t="s">
        <v>32</v>
      </c>
      <c r="C508" t="s">
        <v>33</v>
      </c>
      <c r="D508" t="s">
        <v>34</v>
      </c>
      <c r="E508" t="s">
        <v>35</v>
      </c>
      <c r="F508" s="1">
        <v>45658</v>
      </c>
      <c r="G508" t="s">
        <v>18</v>
      </c>
      <c r="H508" s="2">
        <v>229390.28</v>
      </c>
      <c r="I508" s="2">
        <v>231004.18</v>
      </c>
      <c r="J508" s="2">
        <v>214674.77</v>
      </c>
      <c r="K508" s="2">
        <v>234351.72</v>
      </c>
      <c r="L508" s="2">
        <f t="shared" si="28"/>
        <v>1613.8999999999942</v>
      </c>
      <c r="M508" s="4">
        <f t="shared" si="29"/>
        <v>7.0356076116215305E-3</v>
      </c>
      <c r="N508" s="2">
        <f t="shared" si="30"/>
        <v>-16329.410000000003</v>
      </c>
      <c r="O508" s="6">
        <f t="shared" si="31"/>
        <v>0.92931119255071482</v>
      </c>
    </row>
    <row r="509" spans="1:15" x14ac:dyDescent="0.2">
      <c r="A509" t="s">
        <v>31</v>
      </c>
      <c r="B509" t="s">
        <v>32</v>
      </c>
      <c r="C509" t="s">
        <v>33</v>
      </c>
      <c r="D509" t="s">
        <v>34</v>
      </c>
      <c r="E509" t="s">
        <v>35</v>
      </c>
      <c r="F509" s="1">
        <v>45658</v>
      </c>
      <c r="G509" t="s">
        <v>19</v>
      </c>
      <c r="H509" s="2">
        <v>169914.82</v>
      </c>
      <c r="I509" s="2">
        <v>171823.68</v>
      </c>
      <c r="J509" s="2">
        <v>161602.35999999999</v>
      </c>
      <c r="K509" s="2">
        <v>173935.78</v>
      </c>
      <c r="L509" s="2">
        <f t="shared" si="28"/>
        <v>1908.859999999986</v>
      </c>
      <c r="M509" s="4">
        <f t="shared" si="29"/>
        <v>1.1234217238967066E-2</v>
      </c>
      <c r="N509" s="2">
        <f t="shared" si="30"/>
        <v>-10221.320000000007</v>
      </c>
      <c r="O509" s="6">
        <f t="shared" si="31"/>
        <v>0.94051273957116965</v>
      </c>
    </row>
    <row r="510" spans="1:15" x14ac:dyDescent="0.2">
      <c r="A510" t="s">
        <v>31</v>
      </c>
      <c r="B510" t="s">
        <v>32</v>
      </c>
      <c r="C510" t="s">
        <v>33</v>
      </c>
      <c r="D510" t="s">
        <v>34</v>
      </c>
      <c r="E510" t="s">
        <v>35</v>
      </c>
      <c r="F510" s="1">
        <v>45658</v>
      </c>
      <c r="G510" t="s">
        <v>20</v>
      </c>
      <c r="H510" s="2">
        <v>42417.39</v>
      </c>
      <c r="I510" s="2">
        <v>41963.73</v>
      </c>
      <c r="J510" s="2">
        <v>40693.78</v>
      </c>
      <c r="K510" s="2">
        <v>42108.44</v>
      </c>
      <c r="L510" s="2">
        <f t="shared" si="28"/>
        <v>-453.65999999999622</v>
      </c>
      <c r="M510" s="4">
        <f t="shared" si="29"/>
        <v>-1.0695141780293323E-2</v>
      </c>
      <c r="N510" s="2">
        <f t="shared" si="30"/>
        <v>-1269.9500000000044</v>
      </c>
      <c r="O510" s="6">
        <f t="shared" si="31"/>
        <v>0.96973696094222306</v>
      </c>
    </row>
    <row r="511" spans="1:15" x14ac:dyDescent="0.2">
      <c r="A511" t="s">
        <v>31</v>
      </c>
      <c r="B511" t="s">
        <v>32</v>
      </c>
      <c r="C511" t="s">
        <v>33</v>
      </c>
      <c r="D511" t="s">
        <v>34</v>
      </c>
      <c r="E511" t="s">
        <v>35</v>
      </c>
      <c r="F511" s="1">
        <v>45658</v>
      </c>
      <c r="G511" t="s">
        <v>21</v>
      </c>
      <c r="H511" s="2">
        <v>62703.58</v>
      </c>
      <c r="I511" s="2">
        <v>62812.44</v>
      </c>
      <c r="J511" s="2">
        <v>59161.31</v>
      </c>
      <c r="K511" s="2">
        <v>62365.18</v>
      </c>
      <c r="L511" s="2">
        <f t="shared" si="28"/>
        <v>108.86000000000058</v>
      </c>
      <c r="M511" s="4">
        <f t="shared" si="29"/>
        <v>1.7361050198409817E-3</v>
      </c>
      <c r="N511" s="2">
        <f t="shared" si="30"/>
        <v>-3651.1300000000047</v>
      </c>
      <c r="O511" s="6">
        <f t="shared" si="31"/>
        <v>0.94187250168915582</v>
      </c>
    </row>
    <row r="512" spans="1:15" x14ac:dyDescent="0.2">
      <c r="A512" t="s">
        <v>31</v>
      </c>
      <c r="B512" t="s">
        <v>32</v>
      </c>
      <c r="C512" t="s">
        <v>33</v>
      </c>
      <c r="D512" t="s">
        <v>34</v>
      </c>
      <c r="E512" t="s">
        <v>35</v>
      </c>
      <c r="F512" s="1">
        <v>45689</v>
      </c>
      <c r="G512" t="s">
        <v>16</v>
      </c>
      <c r="H512" s="2">
        <v>399923.78</v>
      </c>
      <c r="I512" s="2">
        <v>400184.18</v>
      </c>
      <c r="J512" s="2">
        <v>375442.82</v>
      </c>
      <c r="K512" s="2">
        <v>401374.87</v>
      </c>
      <c r="L512" s="2">
        <f t="shared" si="28"/>
        <v>260.39999999996508</v>
      </c>
      <c r="M512" s="4">
        <f t="shared" si="29"/>
        <v>6.511240716917735E-4</v>
      </c>
      <c r="N512" s="2">
        <f t="shared" si="30"/>
        <v>-24741.359999999986</v>
      </c>
      <c r="O512" s="6">
        <f t="shared" si="31"/>
        <v>0.93817506729026623</v>
      </c>
    </row>
    <row r="513" spans="1:15" x14ac:dyDescent="0.2">
      <c r="A513" t="s">
        <v>31</v>
      </c>
      <c r="B513" t="s">
        <v>32</v>
      </c>
      <c r="C513" t="s">
        <v>33</v>
      </c>
      <c r="D513" t="s">
        <v>34</v>
      </c>
      <c r="E513" t="s">
        <v>35</v>
      </c>
      <c r="F513" s="1">
        <v>45689</v>
      </c>
      <c r="G513" t="s">
        <v>17</v>
      </c>
      <c r="H513" s="2">
        <v>310395.69</v>
      </c>
      <c r="I513" s="2">
        <v>301429.95</v>
      </c>
      <c r="J513" s="2">
        <v>290177.90000000002</v>
      </c>
      <c r="K513" s="2">
        <v>304712.19</v>
      </c>
      <c r="L513" s="2">
        <f t="shared" si="28"/>
        <v>-8965.7399999999907</v>
      </c>
      <c r="M513" s="4">
        <f t="shared" si="29"/>
        <v>-2.8884872724875756E-2</v>
      </c>
      <c r="N513" s="2">
        <f t="shared" si="30"/>
        <v>-11252.049999999988</v>
      </c>
      <c r="O513" s="6">
        <f t="shared" si="31"/>
        <v>0.96267109489285985</v>
      </c>
    </row>
    <row r="514" spans="1:15" x14ac:dyDescent="0.2">
      <c r="A514" t="s">
        <v>31</v>
      </c>
      <c r="B514" t="s">
        <v>32</v>
      </c>
      <c r="C514" t="s">
        <v>33</v>
      </c>
      <c r="D514" t="s">
        <v>34</v>
      </c>
      <c r="E514" t="s">
        <v>35</v>
      </c>
      <c r="F514" s="1">
        <v>45689</v>
      </c>
      <c r="G514" t="s">
        <v>18</v>
      </c>
      <c r="H514" s="2">
        <v>232107.29</v>
      </c>
      <c r="I514" s="2">
        <v>235058.13</v>
      </c>
      <c r="J514" s="2">
        <v>212801.47</v>
      </c>
      <c r="K514" s="2">
        <v>233899.65</v>
      </c>
      <c r="L514" s="2">
        <f t="shared" ref="L514:L577" si="32">I514-H514</f>
        <v>2950.8399999999965</v>
      </c>
      <c r="M514" s="4">
        <f t="shared" ref="M514:M577" si="33">L514/H514</f>
        <v>1.2713258596918678E-2</v>
      </c>
      <c r="N514" s="2">
        <f t="shared" ref="N514:N577" si="34">J514-I514</f>
        <v>-22256.660000000003</v>
      </c>
      <c r="O514" s="6">
        <f t="shared" ref="O514:O577" si="35">J514/I514</f>
        <v>0.90531423014383716</v>
      </c>
    </row>
    <row r="515" spans="1:15" x14ac:dyDescent="0.2">
      <c r="A515" t="s">
        <v>31</v>
      </c>
      <c r="B515" t="s">
        <v>32</v>
      </c>
      <c r="C515" t="s">
        <v>33</v>
      </c>
      <c r="D515" t="s">
        <v>34</v>
      </c>
      <c r="E515" t="s">
        <v>35</v>
      </c>
      <c r="F515" s="1">
        <v>45689</v>
      </c>
      <c r="G515" t="s">
        <v>19</v>
      </c>
      <c r="H515" s="2">
        <v>170985.29</v>
      </c>
      <c r="I515" s="2">
        <v>171211.67</v>
      </c>
      <c r="J515" s="2">
        <v>161898.70000000001</v>
      </c>
      <c r="K515" s="2">
        <v>171345.95</v>
      </c>
      <c r="L515" s="2">
        <f t="shared" si="32"/>
        <v>226.38000000000466</v>
      </c>
      <c r="M515" s="4">
        <f t="shared" si="33"/>
        <v>1.3239735418175719E-3</v>
      </c>
      <c r="N515" s="2">
        <f t="shared" si="34"/>
        <v>-9312.9700000000012</v>
      </c>
      <c r="O515" s="6">
        <f t="shared" si="35"/>
        <v>0.94560551859578268</v>
      </c>
    </row>
    <row r="516" spans="1:15" x14ac:dyDescent="0.2">
      <c r="A516" t="s">
        <v>31</v>
      </c>
      <c r="B516" t="s">
        <v>32</v>
      </c>
      <c r="C516" t="s">
        <v>33</v>
      </c>
      <c r="D516" t="s">
        <v>34</v>
      </c>
      <c r="E516" t="s">
        <v>35</v>
      </c>
      <c r="F516" s="1">
        <v>45689</v>
      </c>
      <c r="G516" t="s">
        <v>20</v>
      </c>
      <c r="H516" s="2">
        <v>43127.07</v>
      </c>
      <c r="I516" s="2">
        <v>43767.22</v>
      </c>
      <c r="J516" s="2">
        <v>39494.69</v>
      </c>
      <c r="K516" s="2">
        <v>43156.69</v>
      </c>
      <c r="L516" s="2">
        <f t="shared" si="32"/>
        <v>640.15000000000146</v>
      </c>
      <c r="M516" s="4">
        <f t="shared" si="33"/>
        <v>1.4843345490430987E-2</v>
      </c>
      <c r="N516" s="2">
        <f t="shared" si="34"/>
        <v>-4272.5299999999988</v>
      </c>
      <c r="O516" s="6">
        <f t="shared" si="35"/>
        <v>0.90238059442660512</v>
      </c>
    </row>
    <row r="517" spans="1:15" x14ac:dyDescent="0.2">
      <c r="A517" t="s">
        <v>31</v>
      </c>
      <c r="B517" t="s">
        <v>32</v>
      </c>
      <c r="C517" t="s">
        <v>33</v>
      </c>
      <c r="D517" t="s">
        <v>34</v>
      </c>
      <c r="E517" t="s">
        <v>35</v>
      </c>
      <c r="F517" s="1">
        <v>45689</v>
      </c>
      <c r="G517" t="s">
        <v>21</v>
      </c>
      <c r="H517" s="2">
        <v>65245.120000000003</v>
      </c>
      <c r="I517" s="2">
        <v>65994.69</v>
      </c>
      <c r="J517" s="2">
        <v>62189.49</v>
      </c>
      <c r="K517" s="2">
        <v>64962.64</v>
      </c>
      <c r="L517" s="2">
        <f t="shared" si="32"/>
        <v>749.56999999999971</v>
      </c>
      <c r="M517" s="4">
        <f t="shared" si="33"/>
        <v>1.1488522053450122E-2</v>
      </c>
      <c r="N517" s="2">
        <f t="shared" si="34"/>
        <v>-3805.2000000000044</v>
      </c>
      <c r="O517" s="6">
        <f t="shared" si="35"/>
        <v>0.94234081560198246</v>
      </c>
    </row>
    <row r="518" spans="1:15" x14ac:dyDescent="0.2">
      <c r="A518" t="s">
        <v>31</v>
      </c>
      <c r="B518" t="s">
        <v>32</v>
      </c>
      <c r="C518" t="s">
        <v>33</v>
      </c>
      <c r="D518" t="s">
        <v>34</v>
      </c>
      <c r="E518" t="s">
        <v>35</v>
      </c>
      <c r="F518" s="1">
        <v>45717</v>
      </c>
      <c r="G518" t="s">
        <v>16</v>
      </c>
      <c r="H518" s="2">
        <v>402603.56</v>
      </c>
      <c r="I518" s="2">
        <v>409454.33</v>
      </c>
      <c r="J518" s="2">
        <v>380467.14</v>
      </c>
      <c r="K518" s="2">
        <v>404851.20000000001</v>
      </c>
      <c r="L518" s="2">
        <f t="shared" si="32"/>
        <v>6850.7700000000186</v>
      </c>
      <c r="M518" s="4">
        <f t="shared" si="33"/>
        <v>1.701616846110357E-2</v>
      </c>
      <c r="N518" s="2">
        <f t="shared" si="34"/>
        <v>-28987.190000000002</v>
      </c>
      <c r="O518" s="6">
        <f t="shared" si="35"/>
        <v>0.9292053157674508</v>
      </c>
    </row>
    <row r="519" spans="1:15" x14ac:dyDescent="0.2">
      <c r="A519" t="s">
        <v>31</v>
      </c>
      <c r="B519" t="s">
        <v>32</v>
      </c>
      <c r="C519" t="s">
        <v>33</v>
      </c>
      <c r="D519" t="s">
        <v>34</v>
      </c>
      <c r="E519" t="s">
        <v>35</v>
      </c>
      <c r="F519" s="1">
        <v>45717</v>
      </c>
      <c r="G519" t="s">
        <v>17</v>
      </c>
      <c r="H519" s="2">
        <v>315026.62</v>
      </c>
      <c r="I519" s="2">
        <v>304471.84999999998</v>
      </c>
      <c r="J519" s="2">
        <v>292885.23</v>
      </c>
      <c r="K519" s="2">
        <v>309969.71000000002</v>
      </c>
      <c r="L519" s="2">
        <f t="shared" si="32"/>
        <v>-10554.770000000019</v>
      </c>
      <c r="M519" s="4">
        <f t="shared" si="33"/>
        <v>-3.3504374963614247E-2</v>
      </c>
      <c r="N519" s="2">
        <f t="shared" si="34"/>
        <v>-11586.619999999995</v>
      </c>
      <c r="O519" s="6">
        <f t="shared" si="35"/>
        <v>0.96194518475189084</v>
      </c>
    </row>
    <row r="520" spans="1:15" x14ac:dyDescent="0.2">
      <c r="A520" t="s">
        <v>31</v>
      </c>
      <c r="B520" t="s">
        <v>32</v>
      </c>
      <c r="C520" t="s">
        <v>33</v>
      </c>
      <c r="D520" t="s">
        <v>34</v>
      </c>
      <c r="E520" t="s">
        <v>35</v>
      </c>
      <c r="F520" s="1">
        <v>45717</v>
      </c>
      <c r="G520" t="s">
        <v>18</v>
      </c>
      <c r="H520" s="2">
        <v>237894.15</v>
      </c>
      <c r="I520" s="2">
        <v>239100.58</v>
      </c>
      <c r="J520" s="2">
        <v>215241.48</v>
      </c>
      <c r="K520" s="2">
        <v>237629.24</v>
      </c>
      <c r="L520" s="2">
        <f t="shared" si="32"/>
        <v>1206.429999999993</v>
      </c>
      <c r="M520" s="4">
        <f t="shared" si="33"/>
        <v>5.0712890586001929E-3</v>
      </c>
      <c r="N520" s="2">
        <f t="shared" si="34"/>
        <v>-23859.099999999977</v>
      </c>
      <c r="O520" s="6">
        <f t="shared" si="35"/>
        <v>0.90021312369882178</v>
      </c>
    </row>
    <row r="521" spans="1:15" x14ac:dyDescent="0.2">
      <c r="A521" t="s">
        <v>31</v>
      </c>
      <c r="B521" t="s">
        <v>32</v>
      </c>
      <c r="C521" t="s">
        <v>33</v>
      </c>
      <c r="D521" t="s">
        <v>34</v>
      </c>
      <c r="E521" t="s">
        <v>35</v>
      </c>
      <c r="F521" s="1">
        <v>45717</v>
      </c>
      <c r="G521" t="s">
        <v>19</v>
      </c>
      <c r="H521" s="2">
        <v>183514.3</v>
      </c>
      <c r="I521" s="2">
        <v>181754.9</v>
      </c>
      <c r="J521" s="2">
        <v>173141.21</v>
      </c>
      <c r="K521" s="2">
        <v>182157.39</v>
      </c>
      <c r="L521" s="2">
        <f t="shared" si="32"/>
        <v>-1759.3999999999942</v>
      </c>
      <c r="M521" s="4">
        <f t="shared" si="33"/>
        <v>-9.5872637718150272E-3</v>
      </c>
      <c r="N521" s="2">
        <f t="shared" si="34"/>
        <v>-8613.6900000000023</v>
      </c>
      <c r="O521" s="6">
        <f t="shared" si="35"/>
        <v>0.95260821028759057</v>
      </c>
    </row>
    <row r="522" spans="1:15" x14ac:dyDescent="0.2">
      <c r="A522" t="s">
        <v>31</v>
      </c>
      <c r="B522" t="s">
        <v>32</v>
      </c>
      <c r="C522" t="s">
        <v>33</v>
      </c>
      <c r="D522" t="s">
        <v>34</v>
      </c>
      <c r="E522" t="s">
        <v>35</v>
      </c>
      <c r="F522" s="1">
        <v>45717</v>
      </c>
      <c r="G522" t="s">
        <v>20</v>
      </c>
      <c r="H522" s="2">
        <v>40823</v>
      </c>
      <c r="I522" s="2">
        <v>39728.160000000003</v>
      </c>
      <c r="J522" s="2">
        <v>38214.519999999997</v>
      </c>
      <c r="K522" s="2">
        <v>40108.480000000003</v>
      </c>
      <c r="L522" s="2">
        <f t="shared" si="32"/>
        <v>-1094.8399999999965</v>
      </c>
      <c r="M522" s="4">
        <f t="shared" si="33"/>
        <v>-2.6819195061607341E-2</v>
      </c>
      <c r="N522" s="2">
        <f t="shared" si="34"/>
        <v>-1513.6400000000067</v>
      </c>
      <c r="O522" s="6">
        <f t="shared" si="35"/>
        <v>0.96190007289539692</v>
      </c>
    </row>
    <row r="523" spans="1:15" x14ac:dyDescent="0.2">
      <c r="A523" t="s">
        <v>31</v>
      </c>
      <c r="B523" t="s">
        <v>32</v>
      </c>
      <c r="C523" t="s">
        <v>33</v>
      </c>
      <c r="D523" t="s">
        <v>34</v>
      </c>
      <c r="E523" t="s">
        <v>35</v>
      </c>
      <c r="F523" s="1">
        <v>45717</v>
      </c>
      <c r="G523" t="s">
        <v>21</v>
      </c>
      <c r="H523" s="2">
        <v>65620.740000000005</v>
      </c>
      <c r="I523" s="2">
        <v>67607.62</v>
      </c>
      <c r="J523" s="2">
        <v>60457.52</v>
      </c>
      <c r="K523" s="2">
        <v>67883.05</v>
      </c>
      <c r="L523" s="2">
        <f t="shared" si="32"/>
        <v>1986.8799999999901</v>
      </c>
      <c r="M523" s="4">
        <f t="shared" si="33"/>
        <v>3.0278232156479644E-2</v>
      </c>
      <c r="N523" s="2">
        <f t="shared" si="34"/>
        <v>-7150.0999999999985</v>
      </c>
      <c r="O523" s="6">
        <f t="shared" si="35"/>
        <v>0.89424121127174716</v>
      </c>
    </row>
    <row r="524" spans="1:15" x14ac:dyDescent="0.2">
      <c r="A524" t="s">
        <v>31</v>
      </c>
      <c r="B524" t="s">
        <v>32</v>
      </c>
      <c r="C524" t="s">
        <v>33</v>
      </c>
      <c r="D524" t="s">
        <v>34</v>
      </c>
      <c r="E524" t="s">
        <v>35</v>
      </c>
      <c r="F524" s="1">
        <v>45748</v>
      </c>
      <c r="G524" t="s">
        <v>16</v>
      </c>
      <c r="H524" s="2">
        <v>382778.72</v>
      </c>
      <c r="I524" s="2">
        <v>380605.57</v>
      </c>
      <c r="J524" s="2">
        <v>362473.76</v>
      </c>
      <c r="K524" s="2">
        <v>377102.55</v>
      </c>
      <c r="L524" s="2">
        <f t="shared" si="32"/>
        <v>-2173.1499999999651</v>
      </c>
      <c r="M524" s="4">
        <f t="shared" si="33"/>
        <v>-5.6773009743069447E-3</v>
      </c>
      <c r="N524" s="2">
        <f t="shared" si="34"/>
        <v>-18131.809999999998</v>
      </c>
      <c r="O524" s="6">
        <f t="shared" si="35"/>
        <v>0.95236062887886797</v>
      </c>
    </row>
    <row r="525" spans="1:15" x14ac:dyDescent="0.2">
      <c r="A525" t="s">
        <v>31</v>
      </c>
      <c r="B525" t="s">
        <v>32</v>
      </c>
      <c r="C525" t="s">
        <v>33</v>
      </c>
      <c r="D525" t="s">
        <v>34</v>
      </c>
      <c r="E525" t="s">
        <v>35</v>
      </c>
      <c r="F525" s="1">
        <v>45748</v>
      </c>
      <c r="G525" t="s">
        <v>17</v>
      </c>
      <c r="H525" s="2">
        <v>312710.21999999997</v>
      </c>
      <c r="I525" s="2">
        <v>312797.92</v>
      </c>
      <c r="J525" s="2">
        <v>296599.74</v>
      </c>
      <c r="K525" s="2">
        <v>316361.98</v>
      </c>
      <c r="L525" s="2">
        <f t="shared" si="32"/>
        <v>87.700000000011642</v>
      </c>
      <c r="M525" s="4">
        <f t="shared" si="33"/>
        <v>2.8045133926231017E-4</v>
      </c>
      <c r="N525" s="2">
        <f t="shared" si="34"/>
        <v>-16198.179999999993</v>
      </c>
      <c r="O525" s="6">
        <f t="shared" si="35"/>
        <v>0.94821519273529697</v>
      </c>
    </row>
    <row r="526" spans="1:15" x14ac:dyDescent="0.2">
      <c r="A526" t="s">
        <v>31</v>
      </c>
      <c r="B526" t="s">
        <v>32</v>
      </c>
      <c r="C526" t="s">
        <v>33</v>
      </c>
      <c r="D526" t="s">
        <v>34</v>
      </c>
      <c r="E526" t="s">
        <v>35</v>
      </c>
      <c r="F526" s="1">
        <v>45748</v>
      </c>
      <c r="G526" t="s">
        <v>18</v>
      </c>
      <c r="H526" s="2">
        <v>251064.48</v>
      </c>
      <c r="I526" s="2">
        <v>249996.53</v>
      </c>
      <c r="J526" s="2">
        <v>237728.72</v>
      </c>
      <c r="K526" s="2">
        <v>248451.79</v>
      </c>
      <c r="L526" s="2">
        <f t="shared" si="32"/>
        <v>-1067.9500000000116</v>
      </c>
      <c r="M526" s="4">
        <f t="shared" si="33"/>
        <v>-4.2536881362111104E-3</v>
      </c>
      <c r="N526" s="2">
        <f t="shared" si="34"/>
        <v>-12267.809999999998</v>
      </c>
      <c r="O526" s="6">
        <f t="shared" si="35"/>
        <v>0.95092807888173492</v>
      </c>
    </row>
    <row r="527" spans="1:15" x14ac:dyDescent="0.2">
      <c r="A527" t="s">
        <v>31</v>
      </c>
      <c r="B527" t="s">
        <v>32</v>
      </c>
      <c r="C527" t="s">
        <v>33</v>
      </c>
      <c r="D527" t="s">
        <v>34</v>
      </c>
      <c r="E527" t="s">
        <v>35</v>
      </c>
      <c r="F527" s="1">
        <v>45748</v>
      </c>
      <c r="G527" t="s">
        <v>19</v>
      </c>
      <c r="H527" s="2">
        <v>185885.85</v>
      </c>
      <c r="I527" s="2">
        <v>190249.49</v>
      </c>
      <c r="J527" s="2">
        <v>171926.36</v>
      </c>
      <c r="K527" s="2">
        <v>191950.04</v>
      </c>
      <c r="L527" s="2">
        <f t="shared" si="32"/>
        <v>4363.6399999999849</v>
      </c>
      <c r="M527" s="4">
        <f t="shared" si="33"/>
        <v>2.3474836842072619E-2</v>
      </c>
      <c r="N527" s="2">
        <f t="shared" si="34"/>
        <v>-18323.130000000005</v>
      </c>
      <c r="O527" s="6">
        <f t="shared" si="35"/>
        <v>0.90368894024367685</v>
      </c>
    </row>
    <row r="528" spans="1:15" x14ac:dyDescent="0.2">
      <c r="A528" t="s">
        <v>31</v>
      </c>
      <c r="B528" t="s">
        <v>32</v>
      </c>
      <c r="C528" t="s">
        <v>33</v>
      </c>
      <c r="D528" t="s">
        <v>34</v>
      </c>
      <c r="E528" t="s">
        <v>35</v>
      </c>
      <c r="F528" s="1">
        <v>45748</v>
      </c>
      <c r="G528" t="s">
        <v>20</v>
      </c>
      <c r="H528" s="2">
        <v>43983.69</v>
      </c>
      <c r="I528" s="2">
        <v>42778.31</v>
      </c>
      <c r="J528" s="2">
        <v>41192.879999999997</v>
      </c>
      <c r="K528" s="2">
        <v>42964.69</v>
      </c>
      <c r="L528" s="2">
        <f t="shared" si="32"/>
        <v>-1205.3800000000047</v>
      </c>
      <c r="M528" s="4">
        <f t="shared" si="33"/>
        <v>-2.7405158594015294E-2</v>
      </c>
      <c r="N528" s="2">
        <f t="shared" si="34"/>
        <v>-1585.4300000000003</v>
      </c>
      <c r="O528" s="6">
        <f t="shared" si="35"/>
        <v>0.96293846110330206</v>
      </c>
    </row>
    <row r="529" spans="1:15" x14ac:dyDescent="0.2">
      <c r="A529" t="s">
        <v>31</v>
      </c>
      <c r="B529" t="s">
        <v>32</v>
      </c>
      <c r="C529" t="s">
        <v>33</v>
      </c>
      <c r="D529" t="s">
        <v>34</v>
      </c>
      <c r="E529" t="s">
        <v>35</v>
      </c>
      <c r="F529" s="1">
        <v>45748</v>
      </c>
      <c r="G529" t="s">
        <v>21</v>
      </c>
      <c r="H529" s="2">
        <v>63697.120000000003</v>
      </c>
      <c r="I529" s="2">
        <v>64066.64</v>
      </c>
      <c r="J529" s="2">
        <v>57965.17</v>
      </c>
      <c r="K529" s="2">
        <v>64509.8</v>
      </c>
      <c r="L529" s="2">
        <f t="shared" si="32"/>
        <v>369.5199999999968</v>
      </c>
      <c r="M529" s="4">
        <f t="shared" si="33"/>
        <v>5.801204198871107E-3</v>
      </c>
      <c r="N529" s="2">
        <f t="shared" si="34"/>
        <v>-6101.4700000000012</v>
      </c>
      <c r="O529" s="6">
        <f t="shared" si="35"/>
        <v>0.90476369605148632</v>
      </c>
    </row>
    <row r="530" spans="1:15" x14ac:dyDescent="0.2">
      <c r="A530" t="s">
        <v>31</v>
      </c>
      <c r="B530" t="s">
        <v>32</v>
      </c>
      <c r="C530" t="s">
        <v>33</v>
      </c>
      <c r="D530" t="s">
        <v>34</v>
      </c>
      <c r="E530" t="s">
        <v>35</v>
      </c>
      <c r="F530" s="1">
        <v>45778</v>
      </c>
      <c r="G530" t="s">
        <v>16</v>
      </c>
      <c r="H530" s="2">
        <v>412053.85</v>
      </c>
      <c r="I530" s="2">
        <v>400955.44</v>
      </c>
      <c r="J530" s="2">
        <v>372038.29</v>
      </c>
      <c r="K530" s="2">
        <v>412246.47</v>
      </c>
      <c r="L530" s="2">
        <f t="shared" si="32"/>
        <v>-11098.409999999974</v>
      </c>
      <c r="M530" s="4">
        <f t="shared" si="33"/>
        <v>-2.6934367923027475E-2</v>
      </c>
      <c r="N530" s="2">
        <f t="shared" si="34"/>
        <v>-28917.150000000023</v>
      </c>
      <c r="O530" s="6">
        <f t="shared" si="35"/>
        <v>0.9278793922835914</v>
      </c>
    </row>
    <row r="531" spans="1:15" x14ac:dyDescent="0.2">
      <c r="A531" t="s">
        <v>31</v>
      </c>
      <c r="B531" t="s">
        <v>32</v>
      </c>
      <c r="C531" t="s">
        <v>33</v>
      </c>
      <c r="D531" t="s">
        <v>34</v>
      </c>
      <c r="E531" t="s">
        <v>35</v>
      </c>
      <c r="F531" s="1">
        <v>45778</v>
      </c>
      <c r="G531" t="s">
        <v>17</v>
      </c>
      <c r="H531" s="2">
        <v>319354.14</v>
      </c>
      <c r="I531" s="2">
        <v>316169.19</v>
      </c>
      <c r="J531" s="2">
        <v>297494.56</v>
      </c>
      <c r="K531" s="2">
        <v>320369.56</v>
      </c>
      <c r="L531" s="2">
        <f t="shared" si="32"/>
        <v>-3184.9500000000116</v>
      </c>
      <c r="M531" s="4">
        <f t="shared" si="33"/>
        <v>-9.9730975775044334E-3</v>
      </c>
      <c r="N531" s="2">
        <f t="shared" si="34"/>
        <v>-18674.630000000005</v>
      </c>
      <c r="O531" s="6">
        <f t="shared" si="35"/>
        <v>0.94093469385805739</v>
      </c>
    </row>
    <row r="532" spans="1:15" x14ac:dyDescent="0.2">
      <c r="A532" t="s">
        <v>31</v>
      </c>
      <c r="B532" t="s">
        <v>32</v>
      </c>
      <c r="C532" t="s">
        <v>33</v>
      </c>
      <c r="D532" t="s">
        <v>34</v>
      </c>
      <c r="E532" t="s">
        <v>35</v>
      </c>
      <c r="F532" s="1">
        <v>45778</v>
      </c>
      <c r="G532" t="s">
        <v>18</v>
      </c>
      <c r="H532" s="2">
        <v>244827.73</v>
      </c>
      <c r="I532" s="2">
        <v>251191.39</v>
      </c>
      <c r="J532" s="2">
        <v>226683.9</v>
      </c>
      <c r="K532" s="2">
        <v>248140.77</v>
      </c>
      <c r="L532" s="2">
        <f t="shared" si="32"/>
        <v>6363.6600000000035</v>
      </c>
      <c r="M532" s="4">
        <f t="shared" si="33"/>
        <v>2.5992398818548874E-2</v>
      </c>
      <c r="N532" s="2">
        <f t="shared" si="34"/>
        <v>-24507.49000000002</v>
      </c>
      <c r="O532" s="6">
        <f t="shared" si="35"/>
        <v>0.90243499190000098</v>
      </c>
    </row>
    <row r="533" spans="1:15" x14ac:dyDescent="0.2">
      <c r="A533" t="s">
        <v>31</v>
      </c>
      <c r="B533" t="s">
        <v>32</v>
      </c>
      <c r="C533" t="s">
        <v>33</v>
      </c>
      <c r="D533" t="s">
        <v>34</v>
      </c>
      <c r="E533" t="s">
        <v>35</v>
      </c>
      <c r="F533" s="1">
        <v>45778</v>
      </c>
      <c r="G533" t="s">
        <v>19</v>
      </c>
      <c r="H533" s="2">
        <v>182246.27</v>
      </c>
      <c r="I533" s="2">
        <v>176946</v>
      </c>
      <c r="J533" s="2">
        <v>165983.10999999999</v>
      </c>
      <c r="K533" s="2">
        <v>178842.72</v>
      </c>
      <c r="L533" s="2">
        <f t="shared" si="32"/>
        <v>-5300.2699999999895</v>
      </c>
      <c r="M533" s="4">
        <f t="shared" si="33"/>
        <v>-2.9083009490399939E-2</v>
      </c>
      <c r="N533" s="2">
        <f t="shared" si="34"/>
        <v>-10962.890000000014</v>
      </c>
      <c r="O533" s="6">
        <f t="shared" si="35"/>
        <v>0.93804386649034166</v>
      </c>
    </row>
    <row r="534" spans="1:15" x14ac:dyDescent="0.2">
      <c r="A534" t="s">
        <v>31</v>
      </c>
      <c r="B534" t="s">
        <v>32</v>
      </c>
      <c r="C534" t="s">
        <v>33</v>
      </c>
      <c r="D534" t="s">
        <v>34</v>
      </c>
      <c r="E534" t="s">
        <v>35</v>
      </c>
      <c r="F534" s="1">
        <v>45778</v>
      </c>
      <c r="G534" t="s">
        <v>20</v>
      </c>
      <c r="H534" s="2">
        <v>43557.55</v>
      </c>
      <c r="I534" s="2">
        <v>44398.33</v>
      </c>
      <c r="J534" s="2">
        <v>39252.410000000003</v>
      </c>
      <c r="K534" s="2">
        <v>43996.03</v>
      </c>
      <c r="L534" s="2">
        <f t="shared" si="32"/>
        <v>840.77999999999884</v>
      </c>
      <c r="M534" s="4">
        <f t="shared" si="33"/>
        <v>1.9302738560823526E-2</v>
      </c>
      <c r="N534" s="2">
        <f t="shared" si="34"/>
        <v>-5145.9199999999983</v>
      </c>
      <c r="O534" s="6">
        <f t="shared" si="35"/>
        <v>0.88409654146901473</v>
      </c>
    </row>
    <row r="535" spans="1:15" x14ac:dyDescent="0.2">
      <c r="A535" t="s">
        <v>31</v>
      </c>
      <c r="B535" t="s">
        <v>32</v>
      </c>
      <c r="C535" t="s">
        <v>33</v>
      </c>
      <c r="D535" t="s">
        <v>34</v>
      </c>
      <c r="E535" t="s">
        <v>35</v>
      </c>
      <c r="F535" s="1">
        <v>45778</v>
      </c>
      <c r="G535" t="s">
        <v>21</v>
      </c>
      <c r="H535" s="2">
        <v>65749.460000000006</v>
      </c>
      <c r="I535" s="2">
        <v>66255.509999999995</v>
      </c>
      <c r="J535" s="2">
        <v>60788.86</v>
      </c>
      <c r="K535" s="2">
        <v>66235.91</v>
      </c>
      <c r="L535" s="2">
        <f t="shared" si="32"/>
        <v>506.04999999998836</v>
      </c>
      <c r="M535" s="4">
        <f t="shared" si="33"/>
        <v>7.6966411587256886E-3</v>
      </c>
      <c r="N535" s="2">
        <f t="shared" si="34"/>
        <v>-5466.6499999999942</v>
      </c>
      <c r="O535" s="6">
        <f t="shared" si="35"/>
        <v>0.91749139052736906</v>
      </c>
    </row>
    <row r="536" spans="1:15" x14ac:dyDescent="0.2">
      <c r="A536" t="s">
        <v>31</v>
      </c>
      <c r="B536" t="s">
        <v>32</v>
      </c>
      <c r="C536" t="s">
        <v>33</v>
      </c>
      <c r="D536" t="s">
        <v>34</v>
      </c>
      <c r="E536" t="s">
        <v>35</v>
      </c>
      <c r="F536" s="1">
        <v>45809</v>
      </c>
      <c r="G536" t="s">
        <v>16</v>
      </c>
      <c r="H536" s="2">
        <v>397805.89</v>
      </c>
      <c r="I536" s="2">
        <v>402210.01</v>
      </c>
      <c r="J536" s="2">
        <v>377930.3</v>
      </c>
      <c r="K536" s="2">
        <v>406948.29</v>
      </c>
      <c r="L536" s="2">
        <f t="shared" si="32"/>
        <v>4404.1199999999953</v>
      </c>
      <c r="M536" s="4">
        <f t="shared" si="33"/>
        <v>1.107102763108911E-2</v>
      </c>
      <c r="N536" s="2">
        <f t="shared" si="34"/>
        <v>-24279.710000000021</v>
      </c>
      <c r="O536" s="6">
        <f t="shared" si="35"/>
        <v>0.93963424729285072</v>
      </c>
    </row>
    <row r="537" spans="1:15" x14ac:dyDescent="0.2">
      <c r="A537" t="s">
        <v>31</v>
      </c>
      <c r="B537" t="s">
        <v>32</v>
      </c>
      <c r="C537" t="s">
        <v>33</v>
      </c>
      <c r="D537" t="s">
        <v>34</v>
      </c>
      <c r="E537" t="s">
        <v>35</v>
      </c>
      <c r="F537" s="1">
        <v>45809</v>
      </c>
      <c r="G537" t="s">
        <v>17</v>
      </c>
      <c r="H537" s="2">
        <v>317996.71000000002</v>
      </c>
      <c r="I537" s="2">
        <v>322106.51</v>
      </c>
      <c r="J537" s="2">
        <v>290163</v>
      </c>
      <c r="K537" s="2">
        <v>325646.37</v>
      </c>
      <c r="L537" s="2">
        <f t="shared" si="32"/>
        <v>4109.7999999999884</v>
      </c>
      <c r="M537" s="4">
        <f t="shared" si="33"/>
        <v>1.2924033081977445E-2</v>
      </c>
      <c r="N537" s="2">
        <f t="shared" si="34"/>
        <v>-31943.510000000009</v>
      </c>
      <c r="O537" s="6">
        <f t="shared" si="35"/>
        <v>0.90082935610335846</v>
      </c>
    </row>
    <row r="538" spans="1:15" x14ac:dyDescent="0.2">
      <c r="A538" t="s">
        <v>31</v>
      </c>
      <c r="B538" t="s">
        <v>32</v>
      </c>
      <c r="C538" t="s">
        <v>33</v>
      </c>
      <c r="D538" t="s">
        <v>34</v>
      </c>
      <c r="E538" t="s">
        <v>35</v>
      </c>
      <c r="F538" s="1">
        <v>45809</v>
      </c>
      <c r="G538" t="s">
        <v>18</v>
      </c>
      <c r="H538" s="2">
        <v>254943.13</v>
      </c>
      <c r="I538" s="2">
        <v>254988.56</v>
      </c>
      <c r="J538" s="2">
        <v>229061.06</v>
      </c>
      <c r="K538" s="2">
        <v>255061.52</v>
      </c>
      <c r="L538" s="2">
        <f t="shared" si="32"/>
        <v>45.429999999993015</v>
      </c>
      <c r="M538" s="4">
        <f t="shared" si="33"/>
        <v>1.7819660408183196E-4</v>
      </c>
      <c r="N538" s="2">
        <f t="shared" si="34"/>
        <v>-25927.5</v>
      </c>
      <c r="O538" s="6">
        <f t="shared" si="35"/>
        <v>0.8983189677215323</v>
      </c>
    </row>
    <row r="539" spans="1:15" x14ac:dyDescent="0.2">
      <c r="A539" t="s">
        <v>31</v>
      </c>
      <c r="B539" t="s">
        <v>32</v>
      </c>
      <c r="C539" t="s">
        <v>33</v>
      </c>
      <c r="D539" t="s">
        <v>34</v>
      </c>
      <c r="E539" t="s">
        <v>35</v>
      </c>
      <c r="F539" s="1">
        <v>45809</v>
      </c>
      <c r="G539" t="s">
        <v>19</v>
      </c>
      <c r="H539" s="2">
        <v>175350.23</v>
      </c>
      <c r="I539" s="2">
        <v>176073.04</v>
      </c>
      <c r="J539" s="2">
        <v>166939.57</v>
      </c>
      <c r="K539" s="2">
        <v>177179.25</v>
      </c>
      <c r="L539" s="2">
        <f t="shared" si="32"/>
        <v>722.80999999999767</v>
      </c>
      <c r="M539" s="4">
        <f t="shared" si="33"/>
        <v>4.1220932530285108E-3</v>
      </c>
      <c r="N539" s="2">
        <f t="shared" si="34"/>
        <v>-9133.4700000000012</v>
      </c>
      <c r="O539" s="6">
        <f t="shared" si="35"/>
        <v>0.94812681146415145</v>
      </c>
    </row>
    <row r="540" spans="1:15" x14ac:dyDescent="0.2">
      <c r="A540" t="s">
        <v>31</v>
      </c>
      <c r="B540" t="s">
        <v>32</v>
      </c>
      <c r="C540" t="s">
        <v>33</v>
      </c>
      <c r="D540" t="s">
        <v>34</v>
      </c>
      <c r="E540" t="s">
        <v>35</v>
      </c>
      <c r="F540" s="1">
        <v>45809</v>
      </c>
      <c r="G540" t="s">
        <v>20</v>
      </c>
      <c r="H540" s="2">
        <v>43389.67</v>
      </c>
      <c r="I540" s="2">
        <v>42470.04</v>
      </c>
      <c r="J540" s="2">
        <v>39659.410000000003</v>
      </c>
      <c r="K540" s="2">
        <v>42763.05</v>
      </c>
      <c r="L540" s="2">
        <f t="shared" si="32"/>
        <v>-919.62999999999738</v>
      </c>
      <c r="M540" s="4">
        <f t="shared" si="33"/>
        <v>-2.119467605999302E-2</v>
      </c>
      <c r="N540" s="2">
        <f t="shared" si="34"/>
        <v>-2810.6299999999974</v>
      </c>
      <c r="O540" s="6">
        <f t="shared" si="35"/>
        <v>0.93382087702295558</v>
      </c>
    </row>
    <row r="541" spans="1:15" x14ac:dyDescent="0.2">
      <c r="A541" t="s">
        <v>31</v>
      </c>
      <c r="B541" t="s">
        <v>32</v>
      </c>
      <c r="C541" t="s">
        <v>33</v>
      </c>
      <c r="D541" t="s">
        <v>34</v>
      </c>
      <c r="E541" t="s">
        <v>35</v>
      </c>
      <c r="F541" s="1">
        <v>45809</v>
      </c>
      <c r="G541" t="s">
        <v>21</v>
      </c>
      <c r="H541" s="2">
        <v>68552.41</v>
      </c>
      <c r="I541" s="2">
        <v>66339.41</v>
      </c>
      <c r="J541" s="2">
        <v>64543.64</v>
      </c>
      <c r="K541" s="2">
        <v>67181.89</v>
      </c>
      <c r="L541" s="2">
        <f t="shared" si="32"/>
        <v>-2213</v>
      </c>
      <c r="M541" s="4">
        <f t="shared" si="33"/>
        <v>-3.2281870177868287E-2</v>
      </c>
      <c r="N541" s="2">
        <f t="shared" si="34"/>
        <v>-1795.7700000000041</v>
      </c>
      <c r="O541" s="6">
        <f t="shared" si="35"/>
        <v>0.97293057022967189</v>
      </c>
    </row>
    <row r="542" spans="1:15" x14ac:dyDescent="0.2">
      <c r="A542" t="s">
        <v>31</v>
      </c>
      <c r="B542" t="s">
        <v>32</v>
      </c>
      <c r="C542" t="s">
        <v>33</v>
      </c>
      <c r="D542" t="s">
        <v>34</v>
      </c>
      <c r="E542" t="s">
        <v>35</v>
      </c>
      <c r="F542" s="1">
        <v>45839</v>
      </c>
      <c r="G542" t="s">
        <v>16</v>
      </c>
      <c r="H542" s="2">
        <v>394729.69</v>
      </c>
      <c r="I542" s="2">
        <v>389349.36</v>
      </c>
      <c r="J542" s="2">
        <v>355107.61</v>
      </c>
      <c r="K542" s="2">
        <v>386711.65</v>
      </c>
      <c r="L542" s="2">
        <f t="shared" si="32"/>
        <v>-5380.3300000000163</v>
      </c>
      <c r="M542" s="4">
        <f t="shared" si="33"/>
        <v>-1.3630416298302811E-2</v>
      </c>
      <c r="N542" s="2">
        <f t="shared" si="34"/>
        <v>-34241.75</v>
      </c>
      <c r="O542" s="6">
        <f t="shared" si="35"/>
        <v>0.9120539199037081</v>
      </c>
    </row>
    <row r="543" spans="1:15" x14ac:dyDescent="0.2">
      <c r="A543" t="s">
        <v>31</v>
      </c>
      <c r="B543" t="s">
        <v>32</v>
      </c>
      <c r="C543" t="s">
        <v>33</v>
      </c>
      <c r="D543" t="s">
        <v>34</v>
      </c>
      <c r="E543" t="s">
        <v>35</v>
      </c>
      <c r="F543" s="1">
        <v>45839</v>
      </c>
      <c r="G543" t="s">
        <v>17</v>
      </c>
      <c r="H543" s="2">
        <v>318143.15999999997</v>
      </c>
      <c r="I543" s="2">
        <v>316971.24</v>
      </c>
      <c r="J543" s="2">
        <v>299249.37</v>
      </c>
      <c r="K543" s="2">
        <v>313692.83</v>
      </c>
      <c r="L543" s="2">
        <f t="shared" si="32"/>
        <v>-1171.9199999999837</v>
      </c>
      <c r="M543" s="4">
        <f t="shared" si="33"/>
        <v>-3.6836246927326169E-3</v>
      </c>
      <c r="N543" s="2">
        <f t="shared" si="34"/>
        <v>-17721.869999999995</v>
      </c>
      <c r="O543" s="6">
        <f t="shared" si="35"/>
        <v>0.94408997485071522</v>
      </c>
    </row>
    <row r="544" spans="1:15" x14ac:dyDescent="0.2">
      <c r="A544" t="s">
        <v>31</v>
      </c>
      <c r="B544" t="s">
        <v>32</v>
      </c>
      <c r="C544" t="s">
        <v>33</v>
      </c>
      <c r="D544" t="s">
        <v>34</v>
      </c>
      <c r="E544" t="s">
        <v>35</v>
      </c>
      <c r="F544" s="1">
        <v>45839</v>
      </c>
      <c r="G544" t="s">
        <v>18</v>
      </c>
      <c r="H544" s="2">
        <v>249392.27</v>
      </c>
      <c r="I544" s="2">
        <v>249170.99</v>
      </c>
      <c r="J544" s="2">
        <v>232552.39</v>
      </c>
      <c r="K544" s="2">
        <v>250653.3</v>
      </c>
      <c r="L544" s="2">
        <f t="shared" si="32"/>
        <v>-221.27999999999884</v>
      </c>
      <c r="M544" s="4">
        <f t="shared" si="33"/>
        <v>-8.8727689915970068E-4</v>
      </c>
      <c r="N544" s="2">
        <f t="shared" si="34"/>
        <v>-16618.599999999977</v>
      </c>
      <c r="O544" s="6">
        <f t="shared" si="35"/>
        <v>0.93330443483810066</v>
      </c>
    </row>
    <row r="545" spans="1:15" x14ac:dyDescent="0.2">
      <c r="A545" t="s">
        <v>31</v>
      </c>
      <c r="B545" t="s">
        <v>32</v>
      </c>
      <c r="C545" t="s">
        <v>33</v>
      </c>
      <c r="D545" t="s">
        <v>34</v>
      </c>
      <c r="E545" t="s">
        <v>35</v>
      </c>
      <c r="F545" s="1">
        <v>45839</v>
      </c>
      <c r="G545" t="s">
        <v>19</v>
      </c>
      <c r="H545" s="2">
        <v>186621.31</v>
      </c>
      <c r="I545" s="2">
        <v>189640.44</v>
      </c>
      <c r="J545" s="2">
        <v>175503.35</v>
      </c>
      <c r="K545" s="2">
        <v>186345.22</v>
      </c>
      <c r="L545" s="2">
        <f t="shared" si="32"/>
        <v>3019.1300000000047</v>
      </c>
      <c r="M545" s="4">
        <f t="shared" si="33"/>
        <v>1.6177841640914452E-2</v>
      </c>
      <c r="N545" s="2">
        <f t="shared" si="34"/>
        <v>-14137.089999999997</v>
      </c>
      <c r="O545" s="6">
        <f t="shared" si="35"/>
        <v>0.92545318920373731</v>
      </c>
    </row>
    <row r="546" spans="1:15" x14ac:dyDescent="0.2">
      <c r="A546" t="s">
        <v>31</v>
      </c>
      <c r="B546" t="s">
        <v>32</v>
      </c>
      <c r="C546" t="s">
        <v>33</v>
      </c>
      <c r="D546" t="s">
        <v>34</v>
      </c>
      <c r="E546" t="s">
        <v>35</v>
      </c>
      <c r="F546" s="1">
        <v>45839</v>
      </c>
      <c r="G546" t="s">
        <v>20</v>
      </c>
      <c r="H546" s="2">
        <v>42613.31</v>
      </c>
      <c r="I546" s="2">
        <v>42908.75</v>
      </c>
      <c r="J546" s="2">
        <v>38726.980000000003</v>
      </c>
      <c r="K546" s="2">
        <v>43247.61</v>
      </c>
      <c r="L546" s="2">
        <f t="shared" si="32"/>
        <v>295.44000000000233</v>
      </c>
      <c r="M546" s="4">
        <f t="shared" si="33"/>
        <v>6.9330450978814448E-3</v>
      </c>
      <c r="N546" s="2">
        <f t="shared" si="34"/>
        <v>-4181.7699999999968</v>
      </c>
      <c r="O546" s="6">
        <f t="shared" si="35"/>
        <v>0.90254272147289316</v>
      </c>
    </row>
    <row r="547" spans="1:15" x14ac:dyDescent="0.2">
      <c r="A547" t="s">
        <v>31</v>
      </c>
      <c r="B547" t="s">
        <v>32</v>
      </c>
      <c r="C547" t="s">
        <v>33</v>
      </c>
      <c r="D547" t="s">
        <v>34</v>
      </c>
      <c r="E547" t="s">
        <v>35</v>
      </c>
      <c r="F547" s="1">
        <v>45839</v>
      </c>
      <c r="G547" t="s">
        <v>21</v>
      </c>
      <c r="H547" s="2">
        <v>68352.600000000006</v>
      </c>
      <c r="I547" s="2">
        <v>70584.92</v>
      </c>
      <c r="J547" s="2">
        <v>61661.71</v>
      </c>
      <c r="K547" s="2">
        <v>70598.48</v>
      </c>
      <c r="L547" s="2">
        <f t="shared" si="32"/>
        <v>2232.3199999999924</v>
      </c>
      <c r="M547" s="4">
        <f t="shared" si="33"/>
        <v>3.2658889347296112E-2</v>
      </c>
      <c r="N547" s="2">
        <f t="shared" si="34"/>
        <v>-8923.2099999999991</v>
      </c>
      <c r="O547" s="6">
        <f t="shared" si="35"/>
        <v>0.87358192089755149</v>
      </c>
    </row>
    <row r="548" spans="1:15" x14ac:dyDescent="0.2">
      <c r="A548" t="s">
        <v>31</v>
      </c>
      <c r="B548" t="s">
        <v>32</v>
      </c>
      <c r="C548" t="s">
        <v>33</v>
      </c>
      <c r="D548" t="s">
        <v>34</v>
      </c>
      <c r="E548" t="s">
        <v>35</v>
      </c>
      <c r="F548" s="1">
        <v>45870</v>
      </c>
      <c r="G548" t="s">
        <v>16</v>
      </c>
      <c r="H548" s="2">
        <v>417732.36</v>
      </c>
      <c r="I548" s="2">
        <v>430519.59</v>
      </c>
      <c r="J548" s="2">
        <v>376972.31</v>
      </c>
      <c r="K548" s="2">
        <v>429287.88</v>
      </c>
      <c r="L548" s="2">
        <f t="shared" si="32"/>
        <v>12787.23000000004</v>
      </c>
      <c r="M548" s="4">
        <f t="shared" si="33"/>
        <v>3.0611059195892892E-2</v>
      </c>
      <c r="N548" s="2">
        <f t="shared" si="34"/>
        <v>-53547.280000000028</v>
      </c>
      <c r="O548" s="6">
        <f t="shared" si="35"/>
        <v>0.87562173419332667</v>
      </c>
    </row>
    <row r="549" spans="1:15" x14ac:dyDescent="0.2">
      <c r="A549" t="s">
        <v>31</v>
      </c>
      <c r="B549" t="s">
        <v>32</v>
      </c>
      <c r="C549" t="s">
        <v>33</v>
      </c>
      <c r="D549" t="s">
        <v>34</v>
      </c>
      <c r="E549" t="s">
        <v>35</v>
      </c>
      <c r="F549" s="1">
        <v>45870</v>
      </c>
      <c r="G549" t="s">
        <v>17</v>
      </c>
      <c r="H549" s="2">
        <v>319807.45</v>
      </c>
      <c r="I549" s="2">
        <v>312706.81</v>
      </c>
      <c r="J549" s="2">
        <v>296975.48</v>
      </c>
      <c r="K549" s="2">
        <v>314883.96999999997</v>
      </c>
      <c r="L549" s="2">
        <f t="shared" si="32"/>
        <v>-7100.640000000014</v>
      </c>
      <c r="M549" s="4">
        <f t="shared" si="33"/>
        <v>-2.220285987709171E-2</v>
      </c>
      <c r="N549" s="2">
        <f t="shared" si="34"/>
        <v>-15731.330000000016</v>
      </c>
      <c r="O549" s="6">
        <f t="shared" si="35"/>
        <v>0.94969303674582584</v>
      </c>
    </row>
    <row r="550" spans="1:15" x14ac:dyDescent="0.2">
      <c r="A550" t="s">
        <v>31</v>
      </c>
      <c r="B550" t="s">
        <v>32</v>
      </c>
      <c r="C550" t="s">
        <v>33</v>
      </c>
      <c r="D550" t="s">
        <v>34</v>
      </c>
      <c r="E550" t="s">
        <v>35</v>
      </c>
      <c r="F550" s="1">
        <v>45870</v>
      </c>
      <c r="G550" t="s">
        <v>18</v>
      </c>
      <c r="H550" s="2">
        <v>258983.97</v>
      </c>
      <c r="I550" s="2">
        <v>262226.34999999998</v>
      </c>
      <c r="J550" s="2">
        <v>230223.79</v>
      </c>
      <c r="K550" s="2">
        <v>265619.28999999998</v>
      </c>
      <c r="L550" s="2">
        <f t="shared" si="32"/>
        <v>3242.3799999999756</v>
      </c>
      <c r="M550" s="4">
        <f t="shared" si="33"/>
        <v>1.2519616561596362E-2</v>
      </c>
      <c r="N550" s="2">
        <f t="shared" si="34"/>
        <v>-32002.559999999969</v>
      </c>
      <c r="O550" s="6">
        <f t="shared" si="35"/>
        <v>0.87795826010620226</v>
      </c>
    </row>
    <row r="551" spans="1:15" x14ac:dyDescent="0.2">
      <c r="A551" t="s">
        <v>31</v>
      </c>
      <c r="B551" t="s">
        <v>32</v>
      </c>
      <c r="C551" t="s">
        <v>33</v>
      </c>
      <c r="D551" t="s">
        <v>34</v>
      </c>
      <c r="E551" t="s">
        <v>35</v>
      </c>
      <c r="F551" s="1">
        <v>45870</v>
      </c>
      <c r="G551" t="s">
        <v>19</v>
      </c>
      <c r="H551" s="2">
        <v>188656.07</v>
      </c>
      <c r="I551" s="2">
        <v>184530.05</v>
      </c>
      <c r="J551" s="2">
        <v>170232.93</v>
      </c>
      <c r="K551" s="2">
        <v>185738.3</v>
      </c>
      <c r="L551" s="2">
        <f t="shared" si="32"/>
        <v>-4126.0200000000186</v>
      </c>
      <c r="M551" s="4">
        <f t="shared" si="33"/>
        <v>-2.1870592342986994E-2</v>
      </c>
      <c r="N551" s="2">
        <f t="shared" si="34"/>
        <v>-14297.119999999995</v>
      </c>
      <c r="O551" s="6">
        <f t="shared" si="35"/>
        <v>0.92252145382283268</v>
      </c>
    </row>
    <row r="552" spans="1:15" x14ac:dyDescent="0.2">
      <c r="A552" t="s">
        <v>31</v>
      </c>
      <c r="B552" t="s">
        <v>32</v>
      </c>
      <c r="C552" t="s">
        <v>33</v>
      </c>
      <c r="D552" t="s">
        <v>34</v>
      </c>
      <c r="E552" t="s">
        <v>35</v>
      </c>
      <c r="F552" s="1">
        <v>45870</v>
      </c>
      <c r="G552" t="s">
        <v>20</v>
      </c>
      <c r="H552" s="2">
        <v>43595.27</v>
      </c>
      <c r="I552" s="2">
        <v>42740.14</v>
      </c>
      <c r="J552" s="2">
        <v>40590.07</v>
      </c>
      <c r="K552" s="2">
        <v>43248.05</v>
      </c>
      <c r="L552" s="2">
        <f t="shared" si="32"/>
        <v>-855.12999999999738</v>
      </c>
      <c r="M552" s="4">
        <f t="shared" si="33"/>
        <v>-1.961520137391046E-2</v>
      </c>
      <c r="N552" s="2">
        <f t="shared" si="34"/>
        <v>-2150.0699999999997</v>
      </c>
      <c r="O552" s="6">
        <f t="shared" si="35"/>
        <v>0.94969436225524761</v>
      </c>
    </row>
    <row r="553" spans="1:15" x14ac:dyDescent="0.2">
      <c r="A553" t="s">
        <v>31</v>
      </c>
      <c r="B553" t="s">
        <v>32</v>
      </c>
      <c r="C553" t="s">
        <v>33</v>
      </c>
      <c r="D553" t="s">
        <v>34</v>
      </c>
      <c r="E553" t="s">
        <v>35</v>
      </c>
      <c r="F553" s="1">
        <v>45870</v>
      </c>
      <c r="G553" t="s">
        <v>21</v>
      </c>
      <c r="H553" s="2">
        <v>67836.7</v>
      </c>
      <c r="I553" s="2">
        <v>68962.27</v>
      </c>
      <c r="J553" s="2">
        <v>61326.09</v>
      </c>
      <c r="K553" s="2">
        <v>67813.42</v>
      </c>
      <c r="L553" s="2">
        <f t="shared" si="32"/>
        <v>1125.570000000007</v>
      </c>
      <c r="M553" s="4">
        <f t="shared" si="33"/>
        <v>1.6592346030983331E-2</v>
      </c>
      <c r="N553" s="2">
        <f t="shared" si="34"/>
        <v>-7636.1800000000076</v>
      </c>
      <c r="O553" s="6">
        <f t="shared" si="35"/>
        <v>0.88927017628625038</v>
      </c>
    </row>
    <row r="554" spans="1:15" x14ac:dyDescent="0.2">
      <c r="A554" t="s">
        <v>31</v>
      </c>
      <c r="B554" t="s">
        <v>32</v>
      </c>
      <c r="C554" t="s">
        <v>33</v>
      </c>
      <c r="D554" t="s">
        <v>34</v>
      </c>
      <c r="E554" t="s">
        <v>35</v>
      </c>
      <c r="F554" s="1">
        <v>45901</v>
      </c>
      <c r="G554" t="s">
        <v>16</v>
      </c>
      <c r="H554" s="2">
        <v>409944.41</v>
      </c>
      <c r="I554" s="2">
        <v>404332.76</v>
      </c>
      <c r="J554" s="2">
        <v>386247.26</v>
      </c>
      <c r="K554" s="2">
        <v>406304.62</v>
      </c>
      <c r="L554" s="2">
        <f t="shared" si="32"/>
        <v>-5611.6499999999651</v>
      </c>
      <c r="M554" s="4">
        <f t="shared" si="33"/>
        <v>-1.3688807221447332E-2</v>
      </c>
      <c r="N554" s="2">
        <f t="shared" si="34"/>
        <v>-18085.5</v>
      </c>
      <c r="O554" s="6">
        <f t="shared" si="35"/>
        <v>0.9552707527334664</v>
      </c>
    </row>
    <row r="555" spans="1:15" x14ac:dyDescent="0.2">
      <c r="A555" t="s">
        <v>31</v>
      </c>
      <c r="B555" t="s">
        <v>32</v>
      </c>
      <c r="C555" t="s">
        <v>33</v>
      </c>
      <c r="D555" t="s">
        <v>34</v>
      </c>
      <c r="E555" t="s">
        <v>35</v>
      </c>
      <c r="F555" s="1">
        <v>45901</v>
      </c>
      <c r="G555" t="s">
        <v>17</v>
      </c>
      <c r="H555" s="2">
        <v>316759.73</v>
      </c>
      <c r="I555" s="2">
        <v>307919.55</v>
      </c>
      <c r="J555" s="2">
        <v>293825.43</v>
      </c>
      <c r="K555" s="2">
        <v>309774.75</v>
      </c>
      <c r="L555" s="2">
        <f t="shared" si="32"/>
        <v>-8840.179999999993</v>
      </c>
      <c r="M555" s="4">
        <f t="shared" si="33"/>
        <v>-2.790815612830581E-2</v>
      </c>
      <c r="N555" s="2">
        <f t="shared" si="34"/>
        <v>-14094.119999999995</v>
      </c>
      <c r="O555" s="6">
        <f t="shared" si="35"/>
        <v>0.95422791440166754</v>
      </c>
    </row>
    <row r="556" spans="1:15" x14ac:dyDescent="0.2">
      <c r="A556" t="s">
        <v>31</v>
      </c>
      <c r="B556" t="s">
        <v>32</v>
      </c>
      <c r="C556" t="s">
        <v>33</v>
      </c>
      <c r="D556" t="s">
        <v>34</v>
      </c>
      <c r="E556" t="s">
        <v>35</v>
      </c>
      <c r="F556" s="1">
        <v>45901</v>
      </c>
      <c r="G556" t="s">
        <v>18</v>
      </c>
      <c r="H556" s="2">
        <v>265381.98</v>
      </c>
      <c r="I556" s="2">
        <v>258321.26</v>
      </c>
      <c r="J556" s="2">
        <v>249921.62</v>
      </c>
      <c r="K556" s="2">
        <v>263919.8</v>
      </c>
      <c r="L556" s="2">
        <f t="shared" si="32"/>
        <v>-7060.7199999999721</v>
      </c>
      <c r="M556" s="4">
        <f t="shared" si="33"/>
        <v>-2.6605875802117283E-2</v>
      </c>
      <c r="N556" s="2">
        <f t="shared" si="34"/>
        <v>-8399.640000000014</v>
      </c>
      <c r="O556" s="6">
        <f t="shared" si="35"/>
        <v>0.96748374485321098</v>
      </c>
    </row>
    <row r="557" spans="1:15" x14ac:dyDescent="0.2">
      <c r="A557" t="s">
        <v>31</v>
      </c>
      <c r="B557" t="s">
        <v>32</v>
      </c>
      <c r="C557" t="s">
        <v>33</v>
      </c>
      <c r="D557" t="s">
        <v>34</v>
      </c>
      <c r="E557" t="s">
        <v>35</v>
      </c>
      <c r="F557" s="1">
        <v>45901</v>
      </c>
      <c r="G557" t="s">
        <v>19</v>
      </c>
      <c r="H557" s="2">
        <v>182099.12</v>
      </c>
      <c r="I557" s="2">
        <v>178152.56</v>
      </c>
      <c r="J557" s="2">
        <v>164360.19</v>
      </c>
      <c r="K557" s="2">
        <v>182611.47</v>
      </c>
      <c r="L557" s="2">
        <f t="shared" si="32"/>
        <v>-3946.5599999999977</v>
      </c>
      <c r="M557" s="4">
        <f t="shared" si="33"/>
        <v>-2.167259237716249E-2</v>
      </c>
      <c r="N557" s="2">
        <f t="shared" si="34"/>
        <v>-13792.369999999995</v>
      </c>
      <c r="O557" s="6">
        <f t="shared" si="35"/>
        <v>0.92258112934217729</v>
      </c>
    </row>
    <row r="558" spans="1:15" x14ac:dyDescent="0.2">
      <c r="A558" t="s">
        <v>31</v>
      </c>
      <c r="B558" t="s">
        <v>32</v>
      </c>
      <c r="C558" t="s">
        <v>33</v>
      </c>
      <c r="D558" t="s">
        <v>34</v>
      </c>
      <c r="E558" t="s">
        <v>35</v>
      </c>
      <c r="F558" s="1">
        <v>45901</v>
      </c>
      <c r="G558" t="s">
        <v>20</v>
      </c>
      <c r="H558" s="2">
        <v>42822.93</v>
      </c>
      <c r="I558" s="2">
        <v>43374.61</v>
      </c>
      <c r="J558" s="2">
        <v>39964.99</v>
      </c>
      <c r="K558" s="2">
        <v>42812.46</v>
      </c>
      <c r="L558" s="2">
        <f t="shared" si="32"/>
        <v>551.68000000000029</v>
      </c>
      <c r="M558" s="4">
        <f t="shared" si="33"/>
        <v>1.2882817686692626E-2</v>
      </c>
      <c r="N558" s="2">
        <f t="shared" si="34"/>
        <v>-3409.6200000000026</v>
      </c>
      <c r="O558" s="6">
        <f t="shared" si="35"/>
        <v>0.92139133931117756</v>
      </c>
    </row>
    <row r="559" spans="1:15" x14ac:dyDescent="0.2">
      <c r="A559" t="s">
        <v>31</v>
      </c>
      <c r="B559" t="s">
        <v>32</v>
      </c>
      <c r="C559" t="s">
        <v>33</v>
      </c>
      <c r="D559" t="s">
        <v>34</v>
      </c>
      <c r="E559" t="s">
        <v>35</v>
      </c>
      <c r="F559" s="1">
        <v>45901</v>
      </c>
      <c r="G559" t="s">
        <v>21</v>
      </c>
      <c r="H559" s="2">
        <v>70232.639999999999</v>
      </c>
      <c r="I559" s="2">
        <v>71743.679999999993</v>
      </c>
      <c r="J559" s="2">
        <v>66217.64</v>
      </c>
      <c r="K559" s="2">
        <v>71847.38</v>
      </c>
      <c r="L559" s="2">
        <f t="shared" si="32"/>
        <v>1511.0399999999936</v>
      </c>
      <c r="M559" s="4">
        <f t="shared" si="33"/>
        <v>2.1514782870186763E-2</v>
      </c>
      <c r="N559" s="2">
        <f t="shared" si="34"/>
        <v>-5526.0399999999936</v>
      </c>
      <c r="O559" s="6">
        <f t="shared" si="35"/>
        <v>0.92297523628562139</v>
      </c>
    </row>
    <row r="560" spans="1:15" x14ac:dyDescent="0.2">
      <c r="A560" t="s">
        <v>31</v>
      </c>
      <c r="B560" t="s">
        <v>32</v>
      </c>
      <c r="C560" t="s">
        <v>33</v>
      </c>
      <c r="D560" t="s">
        <v>34</v>
      </c>
      <c r="E560" t="s">
        <v>35</v>
      </c>
      <c r="F560" s="1">
        <v>45931</v>
      </c>
      <c r="G560" t="s">
        <v>16</v>
      </c>
      <c r="H560" s="2">
        <v>424338.36</v>
      </c>
      <c r="I560" s="2">
        <v>419543.14</v>
      </c>
      <c r="J560" s="2">
        <v>375447.16</v>
      </c>
      <c r="K560" s="2">
        <v>423082.51</v>
      </c>
      <c r="L560" s="2">
        <f t="shared" si="32"/>
        <v>-4795.2199999999721</v>
      </c>
      <c r="M560" s="4">
        <f t="shared" si="33"/>
        <v>-1.1300463149266006E-2</v>
      </c>
      <c r="N560" s="2">
        <f t="shared" si="34"/>
        <v>-44095.98000000004</v>
      </c>
      <c r="O560" s="6">
        <f t="shared" si="35"/>
        <v>0.89489524247732899</v>
      </c>
    </row>
    <row r="561" spans="1:15" x14ac:dyDescent="0.2">
      <c r="A561" t="s">
        <v>31</v>
      </c>
      <c r="B561" t="s">
        <v>32</v>
      </c>
      <c r="C561" t="s">
        <v>33</v>
      </c>
      <c r="D561" t="s">
        <v>34</v>
      </c>
      <c r="E561" t="s">
        <v>35</v>
      </c>
      <c r="F561" s="1">
        <v>45931</v>
      </c>
      <c r="G561" t="s">
        <v>17</v>
      </c>
      <c r="H561" s="2">
        <v>315475.92</v>
      </c>
      <c r="I561" s="2">
        <v>306906.09000000003</v>
      </c>
      <c r="J561" s="2">
        <v>291342.03999999998</v>
      </c>
      <c r="K561" s="2">
        <v>309575.39</v>
      </c>
      <c r="L561" s="2">
        <f t="shared" si="32"/>
        <v>-8569.8299999999581</v>
      </c>
      <c r="M561" s="4">
        <f t="shared" si="33"/>
        <v>-2.7164767440887274E-2</v>
      </c>
      <c r="N561" s="2">
        <f t="shared" si="34"/>
        <v>-15564.050000000047</v>
      </c>
      <c r="O561" s="6">
        <f t="shared" si="35"/>
        <v>0.94928725591597074</v>
      </c>
    </row>
    <row r="562" spans="1:15" x14ac:dyDescent="0.2">
      <c r="A562" t="s">
        <v>31</v>
      </c>
      <c r="B562" t="s">
        <v>32</v>
      </c>
      <c r="C562" t="s">
        <v>33</v>
      </c>
      <c r="D562" t="s">
        <v>34</v>
      </c>
      <c r="E562" t="s">
        <v>35</v>
      </c>
      <c r="F562" s="1">
        <v>45931</v>
      </c>
      <c r="G562" t="s">
        <v>18</v>
      </c>
      <c r="H562" s="2">
        <v>251125.04</v>
      </c>
      <c r="I562" s="2">
        <v>257094.74</v>
      </c>
      <c r="J562" s="2">
        <v>233079.89</v>
      </c>
      <c r="K562" s="2">
        <v>258175.53</v>
      </c>
      <c r="L562" s="2">
        <f t="shared" si="32"/>
        <v>5969.6999999999825</v>
      </c>
      <c r="M562" s="4">
        <f t="shared" si="33"/>
        <v>2.3771822993039572E-2</v>
      </c>
      <c r="N562" s="2">
        <f t="shared" si="34"/>
        <v>-24014.849999999977</v>
      </c>
      <c r="O562" s="6">
        <f t="shared" si="35"/>
        <v>0.90659143784894247</v>
      </c>
    </row>
    <row r="563" spans="1:15" x14ac:dyDescent="0.2">
      <c r="A563" t="s">
        <v>31</v>
      </c>
      <c r="B563" t="s">
        <v>32</v>
      </c>
      <c r="C563" t="s">
        <v>33</v>
      </c>
      <c r="D563" t="s">
        <v>34</v>
      </c>
      <c r="E563" t="s">
        <v>35</v>
      </c>
      <c r="F563" s="1">
        <v>45931</v>
      </c>
      <c r="G563" t="s">
        <v>19</v>
      </c>
      <c r="H563" s="2">
        <v>183183.67</v>
      </c>
      <c r="I563" s="2">
        <v>182021.48</v>
      </c>
      <c r="J563" s="2">
        <v>170466.57</v>
      </c>
      <c r="K563" s="2">
        <v>185626.73</v>
      </c>
      <c r="L563" s="2">
        <f t="shared" si="32"/>
        <v>-1162.1900000000023</v>
      </c>
      <c r="M563" s="4">
        <f t="shared" si="33"/>
        <v>-6.3443974017989829E-3</v>
      </c>
      <c r="N563" s="2">
        <f t="shared" si="34"/>
        <v>-11554.910000000003</v>
      </c>
      <c r="O563" s="6">
        <f t="shared" si="35"/>
        <v>0.9365189756725415</v>
      </c>
    </row>
    <row r="564" spans="1:15" x14ac:dyDescent="0.2">
      <c r="A564" t="s">
        <v>31</v>
      </c>
      <c r="B564" t="s">
        <v>32</v>
      </c>
      <c r="C564" t="s">
        <v>33</v>
      </c>
      <c r="D564" t="s">
        <v>34</v>
      </c>
      <c r="E564" t="s">
        <v>35</v>
      </c>
      <c r="F564" s="1">
        <v>45931</v>
      </c>
      <c r="G564" t="s">
        <v>20</v>
      </c>
      <c r="H564" s="2">
        <v>44040.2</v>
      </c>
      <c r="I564" s="2">
        <v>43310.29</v>
      </c>
      <c r="J564" s="2">
        <v>39983.72</v>
      </c>
      <c r="K564" s="2">
        <v>44005.17</v>
      </c>
      <c r="L564" s="2">
        <f t="shared" si="32"/>
        <v>-729.90999999999622</v>
      </c>
      <c r="M564" s="4">
        <f t="shared" si="33"/>
        <v>-1.6573721281919616E-2</v>
      </c>
      <c r="N564" s="2">
        <f t="shared" si="34"/>
        <v>-3326.5699999999997</v>
      </c>
      <c r="O564" s="6">
        <f t="shared" si="35"/>
        <v>0.92319215595185344</v>
      </c>
    </row>
    <row r="565" spans="1:15" x14ac:dyDescent="0.2">
      <c r="A565" t="s">
        <v>31</v>
      </c>
      <c r="B565" t="s">
        <v>32</v>
      </c>
      <c r="C565" t="s">
        <v>33</v>
      </c>
      <c r="D565" t="s">
        <v>34</v>
      </c>
      <c r="E565" t="s">
        <v>35</v>
      </c>
      <c r="F565" s="1">
        <v>45931</v>
      </c>
      <c r="G565" t="s">
        <v>21</v>
      </c>
      <c r="H565" s="2">
        <v>67088.34</v>
      </c>
      <c r="I565" s="2">
        <v>68550.11</v>
      </c>
      <c r="J565" s="2">
        <v>59935.27</v>
      </c>
      <c r="K565" s="2">
        <v>68620.83</v>
      </c>
      <c r="L565" s="2">
        <f t="shared" si="32"/>
        <v>1461.7700000000041</v>
      </c>
      <c r="M565" s="4">
        <f t="shared" si="33"/>
        <v>2.178873407808278E-2</v>
      </c>
      <c r="N565" s="2">
        <f t="shared" si="34"/>
        <v>-8614.8400000000038</v>
      </c>
      <c r="O565" s="6">
        <f t="shared" si="35"/>
        <v>0.87432784571753419</v>
      </c>
    </row>
    <row r="566" spans="1:15" x14ac:dyDescent="0.2">
      <c r="A566" t="s">
        <v>31</v>
      </c>
      <c r="B566" t="s">
        <v>32</v>
      </c>
      <c r="C566" t="s">
        <v>33</v>
      </c>
      <c r="D566" t="s">
        <v>34</v>
      </c>
      <c r="E566" t="s">
        <v>35</v>
      </c>
      <c r="F566" s="1">
        <v>45962</v>
      </c>
      <c r="G566" t="s">
        <v>16</v>
      </c>
      <c r="H566" s="2">
        <v>407567.08</v>
      </c>
      <c r="I566" s="2">
        <v>403766.16</v>
      </c>
      <c r="J566" s="2">
        <v>366638.79</v>
      </c>
      <c r="K566" s="2">
        <v>410714.94</v>
      </c>
      <c r="L566" s="2">
        <f t="shared" si="32"/>
        <v>-3800.9200000000419</v>
      </c>
      <c r="M566" s="4">
        <f t="shared" si="33"/>
        <v>-9.3258758779046665E-3</v>
      </c>
      <c r="N566" s="2">
        <f t="shared" si="34"/>
        <v>-37127.369999999995</v>
      </c>
      <c r="O566" s="6">
        <f t="shared" si="35"/>
        <v>0.90804734601829928</v>
      </c>
    </row>
    <row r="567" spans="1:15" x14ac:dyDescent="0.2">
      <c r="A567" t="s">
        <v>31</v>
      </c>
      <c r="B567" t="s">
        <v>32</v>
      </c>
      <c r="C567" t="s">
        <v>33</v>
      </c>
      <c r="D567" t="s">
        <v>34</v>
      </c>
      <c r="E567" t="s">
        <v>35</v>
      </c>
      <c r="F567" s="1">
        <v>45962</v>
      </c>
      <c r="G567" t="s">
        <v>17</v>
      </c>
      <c r="H567" s="2">
        <v>340504.97</v>
      </c>
      <c r="I567" s="2">
        <v>330627.90999999997</v>
      </c>
      <c r="J567" s="2">
        <v>302328.57</v>
      </c>
      <c r="K567" s="2">
        <v>339914.71</v>
      </c>
      <c r="L567" s="2">
        <f t="shared" si="32"/>
        <v>-9877.0599999999977</v>
      </c>
      <c r="M567" s="4">
        <f t="shared" si="33"/>
        <v>-2.9007094962519926E-2</v>
      </c>
      <c r="N567" s="2">
        <f t="shared" si="34"/>
        <v>-28299.339999999967</v>
      </c>
      <c r="O567" s="6">
        <f t="shared" si="35"/>
        <v>0.91440728642660574</v>
      </c>
    </row>
    <row r="568" spans="1:15" x14ac:dyDescent="0.2">
      <c r="A568" t="s">
        <v>31</v>
      </c>
      <c r="B568" t="s">
        <v>32</v>
      </c>
      <c r="C568" t="s">
        <v>33</v>
      </c>
      <c r="D568" t="s">
        <v>34</v>
      </c>
      <c r="E568" t="s">
        <v>35</v>
      </c>
      <c r="F568" s="1">
        <v>45962</v>
      </c>
      <c r="G568" t="s">
        <v>18</v>
      </c>
      <c r="H568" s="2">
        <v>266217.94</v>
      </c>
      <c r="I568" s="2">
        <v>259402.64</v>
      </c>
      <c r="J568" s="2">
        <v>244672.55</v>
      </c>
      <c r="K568" s="2">
        <v>259190.34</v>
      </c>
      <c r="L568" s="2">
        <f t="shared" si="32"/>
        <v>-6815.2999999999884</v>
      </c>
      <c r="M568" s="4">
        <f t="shared" si="33"/>
        <v>-2.5600453523154706E-2</v>
      </c>
      <c r="N568" s="2">
        <f t="shared" si="34"/>
        <v>-14730.090000000026</v>
      </c>
      <c r="O568" s="6">
        <f t="shared" si="35"/>
        <v>0.94321534275826946</v>
      </c>
    </row>
    <row r="569" spans="1:15" x14ac:dyDescent="0.2">
      <c r="A569" t="s">
        <v>31</v>
      </c>
      <c r="B569" t="s">
        <v>32</v>
      </c>
      <c r="C569" t="s">
        <v>33</v>
      </c>
      <c r="D569" t="s">
        <v>34</v>
      </c>
      <c r="E569" t="s">
        <v>35</v>
      </c>
      <c r="F569" s="1">
        <v>45962</v>
      </c>
      <c r="G569" t="s">
        <v>19</v>
      </c>
      <c r="H569" s="2">
        <v>190440.33</v>
      </c>
      <c r="I569" s="2">
        <v>183977.89</v>
      </c>
      <c r="J569" s="2">
        <v>173764.49</v>
      </c>
      <c r="K569" s="2">
        <v>185327.23</v>
      </c>
      <c r="L569" s="2">
        <f t="shared" si="32"/>
        <v>-6462.4399999999732</v>
      </c>
      <c r="M569" s="4">
        <f t="shared" si="33"/>
        <v>-3.3934198706754883E-2</v>
      </c>
      <c r="N569" s="2">
        <f t="shared" si="34"/>
        <v>-10213.400000000023</v>
      </c>
      <c r="O569" s="6">
        <f t="shared" si="35"/>
        <v>0.94448572053957125</v>
      </c>
    </row>
    <row r="570" spans="1:15" x14ac:dyDescent="0.2">
      <c r="A570" t="s">
        <v>31</v>
      </c>
      <c r="B570" t="s">
        <v>32</v>
      </c>
      <c r="C570" t="s">
        <v>33</v>
      </c>
      <c r="D570" t="s">
        <v>34</v>
      </c>
      <c r="E570" t="s">
        <v>35</v>
      </c>
      <c r="F570" s="1">
        <v>45962</v>
      </c>
      <c r="G570" t="s">
        <v>20</v>
      </c>
      <c r="H570" s="2">
        <v>46400.09</v>
      </c>
      <c r="I570" s="2">
        <v>46784.75</v>
      </c>
      <c r="J570" s="2">
        <v>41709.21</v>
      </c>
      <c r="K570" s="2">
        <v>46632.09</v>
      </c>
      <c r="L570" s="2">
        <f t="shared" si="32"/>
        <v>384.66000000000349</v>
      </c>
      <c r="M570" s="4">
        <f t="shared" si="33"/>
        <v>8.2900701270192268E-3</v>
      </c>
      <c r="N570" s="2">
        <f t="shared" si="34"/>
        <v>-5075.5400000000009</v>
      </c>
      <c r="O570" s="6">
        <f t="shared" si="35"/>
        <v>0.8915129395796707</v>
      </c>
    </row>
    <row r="571" spans="1:15" x14ac:dyDescent="0.2">
      <c r="A571" t="s">
        <v>31</v>
      </c>
      <c r="B571" t="s">
        <v>32</v>
      </c>
      <c r="C571" t="s">
        <v>33</v>
      </c>
      <c r="D571" t="s">
        <v>34</v>
      </c>
      <c r="E571" t="s">
        <v>35</v>
      </c>
      <c r="F571" s="1">
        <v>45962</v>
      </c>
      <c r="G571" t="s">
        <v>21</v>
      </c>
      <c r="H571" s="2">
        <v>69145.77</v>
      </c>
      <c r="I571" s="2">
        <v>68293.570000000007</v>
      </c>
      <c r="J571" s="2">
        <v>61452.67</v>
      </c>
      <c r="K571" s="2">
        <v>68745.86</v>
      </c>
      <c r="L571" s="2">
        <f t="shared" si="32"/>
        <v>-852.19999999999709</v>
      </c>
      <c r="M571" s="4">
        <f t="shared" si="33"/>
        <v>-1.2324687395917307E-2</v>
      </c>
      <c r="N571" s="2">
        <f t="shared" si="34"/>
        <v>-6840.9000000000087</v>
      </c>
      <c r="O571" s="6">
        <f t="shared" si="35"/>
        <v>0.89983097969545289</v>
      </c>
    </row>
    <row r="572" spans="1:15" x14ac:dyDescent="0.2">
      <c r="A572" t="s">
        <v>31</v>
      </c>
      <c r="B572" t="s">
        <v>32</v>
      </c>
      <c r="C572" t="s">
        <v>33</v>
      </c>
      <c r="D572" t="s">
        <v>34</v>
      </c>
      <c r="E572" t="s">
        <v>35</v>
      </c>
      <c r="F572" s="1">
        <v>45992</v>
      </c>
      <c r="G572" t="s">
        <v>16</v>
      </c>
      <c r="H572" s="2">
        <v>436048.01</v>
      </c>
      <c r="I572" s="2">
        <v>437654.63</v>
      </c>
      <c r="J572" s="2">
        <v>390815.2</v>
      </c>
      <c r="K572" s="2">
        <v>439507.11</v>
      </c>
      <c r="L572" s="2">
        <f t="shared" si="32"/>
        <v>1606.6199999999953</v>
      </c>
      <c r="M572" s="4">
        <f t="shared" si="33"/>
        <v>3.684502539066731E-3</v>
      </c>
      <c r="N572" s="2">
        <f t="shared" si="34"/>
        <v>-46839.429999999993</v>
      </c>
      <c r="O572" s="6">
        <f t="shared" si="35"/>
        <v>0.89297627218064624</v>
      </c>
    </row>
    <row r="573" spans="1:15" x14ac:dyDescent="0.2">
      <c r="A573" t="s">
        <v>31</v>
      </c>
      <c r="B573" t="s">
        <v>32</v>
      </c>
      <c r="C573" t="s">
        <v>33</v>
      </c>
      <c r="D573" t="s">
        <v>34</v>
      </c>
      <c r="E573" t="s">
        <v>35</v>
      </c>
      <c r="F573" s="1">
        <v>45992</v>
      </c>
      <c r="G573" t="s">
        <v>17</v>
      </c>
      <c r="H573" s="2">
        <v>331375.89</v>
      </c>
      <c r="I573" s="2">
        <v>331841.06</v>
      </c>
      <c r="J573" s="2">
        <v>294587.36</v>
      </c>
      <c r="K573" s="2">
        <v>329047.99</v>
      </c>
      <c r="L573" s="2">
        <f t="shared" si="32"/>
        <v>465.1699999999837</v>
      </c>
      <c r="M573" s="4">
        <f t="shared" si="33"/>
        <v>1.4037533026315936E-3</v>
      </c>
      <c r="N573" s="2">
        <f t="shared" si="34"/>
        <v>-37253.700000000012</v>
      </c>
      <c r="O573" s="6">
        <f t="shared" si="35"/>
        <v>0.88773631569281986</v>
      </c>
    </row>
    <row r="574" spans="1:15" x14ac:dyDescent="0.2">
      <c r="A574" t="s">
        <v>31</v>
      </c>
      <c r="B574" t="s">
        <v>32</v>
      </c>
      <c r="C574" t="s">
        <v>33</v>
      </c>
      <c r="D574" t="s">
        <v>34</v>
      </c>
      <c r="E574" t="s">
        <v>35</v>
      </c>
      <c r="F574" s="1">
        <v>45992</v>
      </c>
      <c r="G574" t="s">
        <v>18</v>
      </c>
      <c r="H574" s="2">
        <v>266960.26</v>
      </c>
      <c r="I574" s="2">
        <v>261357.62</v>
      </c>
      <c r="J574" s="2">
        <v>244571.16</v>
      </c>
      <c r="K574" s="2">
        <v>263459.59000000003</v>
      </c>
      <c r="L574" s="2">
        <f t="shared" si="32"/>
        <v>-5602.640000000014</v>
      </c>
      <c r="M574" s="4">
        <f t="shared" si="33"/>
        <v>-2.0986794064404995E-2</v>
      </c>
      <c r="N574" s="2">
        <f t="shared" si="34"/>
        <v>-16786.459999999992</v>
      </c>
      <c r="O574" s="6">
        <f t="shared" si="35"/>
        <v>0.93577206587663297</v>
      </c>
    </row>
    <row r="575" spans="1:15" x14ac:dyDescent="0.2">
      <c r="A575" t="s">
        <v>31</v>
      </c>
      <c r="B575" t="s">
        <v>32</v>
      </c>
      <c r="C575" t="s">
        <v>33</v>
      </c>
      <c r="D575" t="s">
        <v>34</v>
      </c>
      <c r="E575" t="s">
        <v>35</v>
      </c>
      <c r="F575" s="1">
        <v>45992</v>
      </c>
      <c r="G575" t="s">
        <v>19</v>
      </c>
      <c r="H575" s="2">
        <v>185194.79</v>
      </c>
      <c r="I575" s="2">
        <v>184534.93</v>
      </c>
      <c r="J575" s="2">
        <v>167970.07</v>
      </c>
      <c r="K575" s="2">
        <v>185074.34</v>
      </c>
      <c r="L575" s="2">
        <f t="shared" si="32"/>
        <v>-659.86000000001513</v>
      </c>
      <c r="M575" s="4">
        <f t="shared" si="33"/>
        <v>-3.5630591983716988E-3</v>
      </c>
      <c r="N575" s="2">
        <f t="shared" si="34"/>
        <v>-16564.859999999986</v>
      </c>
      <c r="O575" s="6">
        <f t="shared" si="35"/>
        <v>0.91023455559335031</v>
      </c>
    </row>
    <row r="576" spans="1:15" x14ac:dyDescent="0.2">
      <c r="A576" t="s">
        <v>31</v>
      </c>
      <c r="B576" t="s">
        <v>32</v>
      </c>
      <c r="C576" t="s">
        <v>33</v>
      </c>
      <c r="D576" t="s">
        <v>34</v>
      </c>
      <c r="E576" t="s">
        <v>35</v>
      </c>
      <c r="F576" s="1">
        <v>45992</v>
      </c>
      <c r="G576" t="s">
        <v>20</v>
      </c>
      <c r="H576" s="2">
        <v>44125.599999999999</v>
      </c>
      <c r="I576" s="2">
        <v>45467.27</v>
      </c>
      <c r="J576" s="2">
        <v>39602.53</v>
      </c>
      <c r="K576" s="2">
        <v>44955.53</v>
      </c>
      <c r="L576" s="2">
        <f t="shared" si="32"/>
        <v>1341.6699999999983</v>
      </c>
      <c r="M576" s="4">
        <f t="shared" si="33"/>
        <v>3.0405705531482821E-2</v>
      </c>
      <c r="N576" s="2">
        <f t="shared" si="34"/>
        <v>-5864.739999999998</v>
      </c>
      <c r="O576" s="6">
        <f t="shared" si="35"/>
        <v>0.87101182894860418</v>
      </c>
    </row>
    <row r="577" spans="1:15" x14ac:dyDescent="0.2">
      <c r="A577" t="s">
        <v>31</v>
      </c>
      <c r="B577" t="s">
        <v>32</v>
      </c>
      <c r="C577" t="s">
        <v>33</v>
      </c>
      <c r="D577" t="s">
        <v>34</v>
      </c>
      <c r="E577" t="s">
        <v>35</v>
      </c>
      <c r="F577" s="1">
        <v>45992</v>
      </c>
      <c r="G577" t="s">
        <v>21</v>
      </c>
      <c r="H577" s="2">
        <v>73509.210000000006</v>
      </c>
      <c r="I577" s="2">
        <v>72614.84</v>
      </c>
      <c r="J577" s="2">
        <v>67874.210000000006</v>
      </c>
      <c r="K577" s="2">
        <v>72251.25</v>
      </c>
      <c r="L577" s="2">
        <f t="shared" si="32"/>
        <v>-894.3700000000099</v>
      </c>
      <c r="M577" s="4">
        <f t="shared" si="33"/>
        <v>-1.2166774748361597E-2</v>
      </c>
      <c r="N577" s="2">
        <f t="shared" si="34"/>
        <v>-4740.6299999999901</v>
      </c>
      <c r="O577" s="6">
        <f t="shared" si="35"/>
        <v>0.93471541078930986</v>
      </c>
    </row>
    <row r="578" spans="1:15" x14ac:dyDescent="0.2">
      <c r="A578" t="s">
        <v>36</v>
      </c>
      <c r="B578" t="s">
        <v>37</v>
      </c>
      <c r="C578" t="s">
        <v>13</v>
      </c>
      <c r="D578" t="s">
        <v>38</v>
      </c>
      <c r="E578" t="s">
        <v>39</v>
      </c>
      <c r="F578" s="1">
        <v>45292</v>
      </c>
      <c r="G578" t="s">
        <v>16</v>
      </c>
      <c r="H578" s="2">
        <v>311261.63</v>
      </c>
      <c r="I578" s="2">
        <v>336923.28</v>
      </c>
      <c r="J578" s="2">
        <v>294078.84000000003</v>
      </c>
      <c r="K578" s="2">
        <v>329031.45</v>
      </c>
      <c r="L578" s="2">
        <f t="shared" ref="L578:L641" si="36">I578-H578</f>
        <v>25661.650000000023</v>
      </c>
      <c r="M578" s="4">
        <f t="shared" ref="M578:M641" si="37">L578/H578</f>
        <v>8.2443987715414918E-2</v>
      </c>
      <c r="N578" s="2">
        <f t="shared" ref="N578:N641" si="38">J578-I578</f>
        <v>-42844.44</v>
      </c>
      <c r="O578" s="6">
        <f t="shared" ref="O578:O641" si="39">J578/I578</f>
        <v>0.87283621363296715</v>
      </c>
    </row>
    <row r="579" spans="1:15" x14ac:dyDescent="0.2">
      <c r="A579" t="s">
        <v>36</v>
      </c>
      <c r="B579" t="s">
        <v>37</v>
      </c>
      <c r="C579" t="s">
        <v>13</v>
      </c>
      <c r="D579" t="s">
        <v>38</v>
      </c>
      <c r="E579" t="s">
        <v>39</v>
      </c>
      <c r="F579" s="1">
        <v>45292</v>
      </c>
      <c r="G579" t="s">
        <v>17</v>
      </c>
      <c r="H579" s="2">
        <v>244006.79</v>
      </c>
      <c r="I579" s="2">
        <v>270474.98</v>
      </c>
      <c r="J579" s="2">
        <v>230152.45</v>
      </c>
      <c r="K579" s="2">
        <v>262173.59000000003</v>
      </c>
      <c r="L579" s="2">
        <f t="shared" si="36"/>
        <v>26468.189999999973</v>
      </c>
      <c r="M579" s="4">
        <f t="shared" si="37"/>
        <v>0.10847316994744274</v>
      </c>
      <c r="N579" s="2">
        <f t="shared" si="38"/>
        <v>-40322.52999999997</v>
      </c>
      <c r="O579" s="6">
        <f t="shared" si="39"/>
        <v>0.85091955640407124</v>
      </c>
    </row>
    <row r="580" spans="1:15" x14ac:dyDescent="0.2">
      <c r="A580" t="s">
        <v>36</v>
      </c>
      <c r="B580" t="s">
        <v>37</v>
      </c>
      <c r="C580" t="s">
        <v>13</v>
      </c>
      <c r="D580" t="s">
        <v>38</v>
      </c>
      <c r="E580" t="s">
        <v>39</v>
      </c>
      <c r="F580" s="1">
        <v>45292</v>
      </c>
      <c r="G580" t="s">
        <v>18</v>
      </c>
      <c r="H580" s="2">
        <v>190444.96</v>
      </c>
      <c r="I580" s="2">
        <v>211688.08</v>
      </c>
      <c r="J580" s="2">
        <v>186566.89</v>
      </c>
      <c r="K580" s="2">
        <v>205414.25</v>
      </c>
      <c r="L580" s="2">
        <f t="shared" si="36"/>
        <v>21243.119999999995</v>
      </c>
      <c r="M580" s="4">
        <f t="shared" si="37"/>
        <v>0.1115446688639069</v>
      </c>
      <c r="N580" s="2">
        <f t="shared" si="38"/>
        <v>-25121.189999999973</v>
      </c>
      <c r="O580" s="6">
        <f t="shared" si="39"/>
        <v>0.88132921797013808</v>
      </c>
    </row>
    <row r="581" spans="1:15" x14ac:dyDescent="0.2">
      <c r="A581" t="s">
        <v>36</v>
      </c>
      <c r="B581" t="s">
        <v>37</v>
      </c>
      <c r="C581" t="s">
        <v>13</v>
      </c>
      <c r="D581" t="s">
        <v>38</v>
      </c>
      <c r="E581" t="s">
        <v>39</v>
      </c>
      <c r="F581" s="1">
        <v>45292</v>
      </c>
      <c r="G581" t="s">
        <v>19</v>
      </c>
      <c r="H581" s="2">
        <v>147535.81</v>
      </c>
      <c r="I581" s="2">
        <v>158970.34</v>
      </c>
      <c r="J581" s="2">
        <v>141048.03</v>
      </c>
      <c r="K581" s="2">
        <v>153690.47</v>
      </c>
      <c r="L581" s="2">
        <f t="shared" si="36"/>
        <v>11434.529999999999</v>
      </c>
      <c r="M581" s="4">
        <f t="shared" si="37"/>
        <v>7.7503421033849329E-2</v>
      </c>
      <c r="N581" s="2">
        <f t="shared" si="38"/>
        <v>-17922.309999999998</v>
      </c>
      <c r="O581" s="6">
        <f t="shared" si="39"/>
        <v>0.887260038570717</v>
      </c>
    </row>
    <row r="582" spans="1:15" x14ac:dyDescent="0.2">
      <c r="A582" t="s">
        <v>36</v>
      </c>
      <c r="B582" t="s">
        <v>37</v>
      </c>
      <c r="C582" t="s">
        <v>13</v>
      </c>
      <c r="D582" t="s">
        <v>38</v>
      </c>
      <c r="E582" t="s">
        <v>39</v>
      </c>
      <c r="F582" s="1">
        <v>45292</v>
      </c>
      <c r="G582" t="s">
        <v>20</v>
      </c>
      <c r="H582" s="2">
        <v>34600.92</v>
      </c>
      <c r="I582" s="2">
        <v>37187.43</v>
      </c>
      <c r="J582" s="2">
        <v>32746.54</v>
      </c>
      <c r="K582" s="2">
        <v>36821.03</v>
      </c>
      <c r="L582" s="2">
        <f t="shared" si="36"/>
        <v>2586.510000000002</v>
      </c>
      <c r="M582" s="4">
        <f t="shared" si="37"/>
        <v>7.4752636635095321E-2</v>
      </c>
      <c r="N582" s="2">
        <f t="shared" si="38"/>
        <v>-4440.8899999999994</v>
      </c>
      <c r="O582" s="6">
        <f t="shared" si="39"/>
        <v>0.88058088445477412</v>
      </c>
    </row>
    <row r="583" spans="1:15" x14ac:dyDescent="0.2">
      <c r="A583" t="s">
        <v>36</v>
      </c>
      <c r="B583" t="s">
        <v>37</v>
      </c>
      <c r="C583" t="s">
        <v>13</v>
      </c>
      <c r="D583" t="s">
        <v>38</v>
      </c>
      <c r="E583" t="s">
        <v>39</v>
      </c>
      <c r="F583" s="1">
        <v>45292</v>
      </c>
      <c r="G583" t="s">
        <v>21</v>
      </c>
      <c r="H583" s="2">
        <v>54346.23</v>
      </c>
      <c r="I583" s="2">
        <v>57940.01</v>
      </c>
      <c r="J583" s="2">
        <v>52349.89</v>
      </c>
      <c r="K583" s="2">
        <v>56161.19</v>
      </c>
      <c r="L583" s="2">
        <f t="shared" si="36"/>
        <v>3593.7799999999988</v>
      </c>
      <c r="M583" s="4">
        <f t="shared" si="37"/>
        <v>6.6127494032244716E-2</v>
      </c>
      <c r="N583" s="2">
        <f t="shared" si="38"/>
        <v>-5590.1200000000026</v>
      </c>
      <c r="O583" s="6">
        <f t="shared" si="39"/>
        <v>0.90351882921663285</v>
      </c>
    </row>
    <row r="584" spans="1:15" x14ac:dyDescent="0.2">
      <c r="A584" t="s">
        <v>36</v>
      </c>
      <c r="B584" t="s">
        <v>37</v>
      </c>
      <c r="C584" t="s">
        <v>13</v>
      </c>
      <c r="D584" t="s">
        <v>38</v>
      </c>
      <c r="E584" t="s">
        <v>39</v>
      </c>
      <c r="F584" s="1">
        <v>45323</v>
      </c>
      <c r="G584" t="s">
        <v>16</v>
      </c>
      <c r="H584" s="2">
        <v>331206.37</v>
      </c>
      <c r="I584" s="2">
        <v>343705.05</v>
      </c>
      <c r="J584" s="2">
        <v>326099.67</v>
      </c>
      <c r="K584" s="2">
        <v>344390.62</v>
      </c>
      <c r="L584" s="2">
        <f t="shared" si="36"/>
        <v>12498.679999999993</v>
      </c>
      <c r="M584" s="4">
        <f t="shared" si="37"/>
        <v>3.7736834590469961E-2</v>
      </c>
      <c r="N584" s="2">
        <f t="shared" si="38"/>
        <v>-17605.380000000005</v>
      </c>
      <c r="O584" s="6">
        <f t="shared" si="39"/>
        <v>0.94877765107029999</v>
      </c>
    </row>
    <row r="585" spans="1:15" x14ac:dyDescent="0.2">
      <c r="A585" t="s">
        <v>36</v>
      </c>
      <c r="B585" t="s">
        <v>37</v>
      </c>
      <c r="C585" t="s">
        <v>13</v>
      </c>
      <c r="D585" t="s">
        <v>38</v>
      </c>
      <c r="E585" t="s">
        <v>39</v>
      </c>
      <c r="F585" s="1">
        <v>45323</v>
      </c>
      <c r="G585" t="s">
        <v>17</v>
      </c>
      <c r="H585" s="2">
        <v>253749.3</v>
      </c>
      <c r="I585" s="2">
        <v>260465.73</v>
      </c>
      <c r="J585" s="2">
        <v>241556.56</v>
      </c>
      <c r="K585" s="2">
        <v>259145.08</v>
      </c>
      <c r="L585" s="2">
        <f t="shared" si="36"/>
        <v>6716.4300000000221</v>
      </c>
      <c r="M585" s="4">
        <f t="shared" si="37"/>
        <v>2.646876267244884E-2</v>
      </c>
      <c r="N585" s="2">
        <f t="shared" si="38"/>
        <v>-18909.170000000013</v>
      </c>
      <c r="O585" s="6">
        <f t="shared" si="39"/>
        <v>0.9274024648079422</v>
      </c>
    </row>
    <row r="586" spans="1:15" x14ac:dyDescent="0.2">
      <c r="A586" t="s">
        <v>36</v>
      </c>
      <c r="B586" t="s">
        <v>37</v>
      </c>
      <c r="C586" t="s">
        <v>13</v>
      </c>
      <c r="D586" t="s">
        <v>38</v>
      </c>
      <c r="E586" t="s">
        <v>39</v>
      </c>
      <c r="F586" s="1">
        <v>45323</v>
      </c>
      <c r="G586" t="s">
        <v>18</v>
      </c>
      <c r="H586" s="2">
        <v>203069.8</v>
      </c>
      <c r="I586" s="2">
        <v>215002.08</v>
      </c>
      <c r="J586" s="2">
        <v>200423.5</v>
      </c>
      <c r="K586" s="2">
        <v>213694.06</v>
      </c>
      <c r="L586" s="2">
        <f t="shared" si="36"/>
        <v>11932.279999999999</v>
      </c>
      <c r="M586" s="4">
        <f t="shared" si="37"/>
        <v>5.8759500427931675E-2</v>
      </c>
      <c r="N586" s="2">
        <f t="shared" si="38"/>
        <v>-14578.579999999987</v>
      </c>
      <c r="O586" s="6">
        <f t="shared" si="39"/>
        <v>0.93219330715312154</v>
      </c>
    </row>
    <row r="587" spans="1:15" x14ac:dyDescent="0.2">
      <c r="A587" t="s">
        <v>36</v>
      </c>
      <c r="B587" t="s">
        <v>37</v>
      </c>
      <c r="C587" t="s">
        <v>13</v>
      </c>
      <c r="D587" t="s">
        <v>38</v>
      </c>
      <c r="E587" t="s">
        <v>39</v>
      </c>
      <c r="F587" s="1">
        <v>45323</v>
      </c>
      <c r="G587" t="s">
        <v>19</v>
      </c>
      <c r="H587" s="2">
        <v>142872.37</v>
      </c>
      <c r="I587" s="2">
        <v>158104</v>
      </c>
      <c r="J587" s="2">
        <v>137501.78</v>
      </c>
      <c r="K587" s="2">
        <v>155021.15</v>
      </c>
      <c r="L587" s="2">
        <f t="shared" si="36"/>
        <v>15231.630000000005</v>
      </c>
      <c r="M587" s="4">
        <f t="shared" si="37"/>
        <v>0.10661004643515051</v>
      </c>
      <c r="N587" s="2">
        <f t="shared" si="38"/>
        <v>-20602.22</v>
      </c>
      <c r="O587" s="6">
        <f t="shared" si="39"/>
        <v>0.86969197490259575</v>
      </c>
    </row>
    <row r="588" spans="1:15" x14ac:dyDescent="0.2">
      <c r="A588" t="s">
        <v>36</v>
      </c>
      <c r="B588" t="s">
        <v>37</v>
      </c>
      <c r="C588" t="s">
        <v>13</v>
      </c>
      <c r="D588" t="s">
        <v>38</v>
      </c>
      <c r="E588" t="s">
        <v>39</v>
      </c>
      <c r="F588" s="1">
        <v>45323</v>
      </c>
      <c r="G588" t="s">
        <v>20</v>
      </c>
      <c r="H588" s="2">
        <v>33219.370000000003</v>
      </c>
      <c r="I588" s="2">
        <v>34932</v>
      </c>
      <c r="J588" s="2">
        <v>31006.19</v>
      </c>
      <c r="K588" s="2">
        <v>34577.1</v>
      </c>
      <c r="L588" s="2">
        <f t="shared" si="36"/>
        <v>1712.6299999999974</v>
      </c>
      <c r="M588" s="4">
        <f t="shared" si="37"/>
        <v>5.1555161943167414E-2</v>
      </c>
      <c r="N588" s="2">
        <f t="shared" si="38"/>
        <v>-3925.8100000000013</v>
      </c>
      <c r="O588" s="6">
        <f t="shared" si="39"/>
        <v>0.88761565326920866</v>
      </c>
    </row>
    <row r="589" spans="1:15" x14ac:dyDescent="0.2">
      <c r="A589" t="s">
        <v>36</v>
      </c>
      <c r="B589" t="s">
        <v>37</v>
      </c>
      <c r="C589" t="s">
        <v>13</v>
      </c>
      <c r="D589" t="s">
        <v>38</v>
      </c>
      <c r="E589" t="s">
        <v>39</v>
      </c>
      <c r="F589" s="1">
        <v>45323</v>
      </c>
      <c r="G589" t="s">
        <v>21</v>
      </c>
      <c r="H589" s="2">
        <v>52595.360000000001</v>
      </c>
      <c r="I589" s="2">
        <v>56604.66</v>
      </c>
      <c r="J589" s="2">
        <v>52217.86</v>
      </c>
      <c r="K589" s="2">
        <v>54873.16</v>
      </c>
      <c r="L589" s="2">
        <f t="shared" si="36"/>
        <v>4009.3000000000029</v>
      </c>
      <c r="M589" s="4">
        <f t="shared" si="37"/>
        <v>7.6229157857271121E-2</v>
      </c>
      <c r="N589" s="2">
        <f t="shared" si="38"/>
        <v>-4386.8000000000029</v>
      </c>
      <c r="O589" s="6">
        <f t="shared" si="39"/>
        <v>0.92250108029974909</v>
      </c>
    </row>
    <row r="590" spans="1:15" x14ac:dyDescent="0.2">
      <c r="A590" t="s">
        <v>36</v>
      </c>
      <c r="B590" t="s">
        <v>37</v>
      </c>
      <c r="C590" t="s">
        <v>13</v>
      </c>
      <c r="D590" t="s">
        <v>38</v>
      </c>
      <c r="E590" t="s">
        <v>39</v>
      </c>
      <c r="F590" s="1">
        <v>45352</v>
      </c>
      <c r="G590" t="s">
        <v>16</v>
      </c>
      <c r="H590" s="2">
        <v>325189.82</v>
      </c>
      <c r="I590" s="2">
        <v>340617.58</v>
      </c>
      <c r="J590" s="2">
        <v>307536.87</v>
      </c>
      <c r="K590" s="2">
        <v>340007.02</v>
      </c>
      <c r="L590" s="2">
        <f t="shared" si="36"/>
        <v>15427.760000000009</v>
      </c>
      <c r="M590" s="4">
        <f t="shared" si="37"/>
        <v>4.7442321533927502E-2</v>
      </c>
      <c r="N590" s="2">
        <f t="shared" si="38"/>
        <v>-33080.710000000021</v>
      </c>
      <c r="O590" s="6">
        <f t="shared" si="39"/>
        <v>0.9028802036583079</v>
      </c>
    </row>
    <row r="591" spans="1:15" x14ac:dyDescent="0.2">
      <c r="A591" t="s">
        <v>36</v>
      </c>
      <c r="B591" t="s">
        <v>37</v>
      </c>
      <c r="C591" t="s">
        <v>13</v>
      </c>
      <c r="D591" t="s">
        <v>38</v>
      </c>
      <c r="E591" t="s">
        <v>39</v>
      </c>
      <c r="F591" s="1">
        <v>45352</v>
      </c>
      <c r="G591" t="s">
        <v>17</v>
      </c>
      <c r="H591" s="2">
        <v>256607</v>
      </c>
      <c r="I591" s="2">
        <v>282414.65999999997</v>
      </c>
      <c r="J591" s="2">
        <v>241304.63</v>
      </c>
      <c r="K591" s="2">
        <v>270894.77</v>
      </c>
      <c r="L591" s="2">
        <f t="shared" si="36"/>
        <v>25807.659999999974</v>
      </c>
      <c r="M591" s="4">
        <f t="shared" si="37"/>
        <v>0.10057270456378811</v>
      </c>
      <c r="N591" s="2">
        <f t="shared" si="38"/>
        <v>-41110.02999999997</v>
      </c>
      <c r="O591" s="6">
        <f t="shared" si="39"/>
        <v>0.85443379603594238</v>
      </c>
    </row>
    <row r="592" spans="1:15" x14ac:dyDescent="0.2">
      <c r="A592" t="s">
        <v>36</v>
      </c>
      <c r="B592" t="s">
        <v>37</v>
      </c>
      <c r="C592" t="s">
        <v>13</v>
      </c>
      <c r="D592" t="s">
        <v>38</v>
      </c>
      <c r="E592" t="s">
        <v>39</v>
      </c>
      <c r="F592" s="1">
        <v>45352</v>
      </c>
      <c r="G592" t="s">
        <v>18</v>
      </c>
      <c r="H592" s="2">
        <v>206732.09</v>
      </c>
      <c r="I592" s="2">
        <v>220375.08</v>
      </c>
      <c r="J592" s="2">
        <v>201745.95</v>
      </c>
      <c r="K592" s="2">
        <v>218305.65</v>
      </c>
      <c r="L592" s="2">
        <f t="shared" si="36"/>
        <v>13642.989999999991</v>
      </c>
      <c r="M592" s="4">
        <f t="shared" si="37"/>
        <v>6.5993576517317618E-2</v>
      </c>
      <c r="N592" s="2">
        <f t="shared" si="38"/>
        <v>-18629.129999999976</v>
      </c>
      <c r="O592" s="6">
        <f t="shared" si="39"/>
        <v>0.9154662587076543</v>
      </c>
    </row>
    <row r="593" spans="1:15" x14ac:dyDescent="0.2">
      <c r="A593" t="s">
        <v>36</v>
      </c>
      <c r="B593" t="s">
        <v>37</v>
      </c>
      <c r="C593" t="s">
        <v>13</v>
      </c>
      <c r="D593" t="s">
        <v>38</v>
      </c>
      <c r="E593" t="s">
        <v>39</v>
      </c>
      <c r="F593" s="1">
        <v>45352</v>
      </c>
      <c r="G593" t="s">
        <v>19</v>
      </c>
      <c r="H593" s="2">
        <v>144462.74</v>
      </c>
      <c r="I593" s="2">
        <v>149695.64000000001</v>
      </c>
      <c r="J593" s="2">
        <v>138439.18</v>
      </c>
      <c r="K593" s="2">
        <v>146514.82</v>
      </c>
      <c r="L593" s="2">
        <f t="shared" si="36"/>
        <v>5232.9000000000233</v>
      </c>
      <c r="M593" s="4">
        <f t="shared" si="37"/>
        <v>3.6223181146917353E-2</v>
      </c>
      <c r="N593" s="2">
        <f t="shared" si="38"/>
        <v>-11256.460000000021</v>
      </c>
      <c r="O593" s="6">
        <f t="shared" si="39"/>
        <v>0.92480435635934344</v>
      </c>
    </row>
    <row r="594" spans="1:15" x14ac:dyDescent="0.2">
      <c r="A594" t="s">
        <v>36</v>
      </c>
      <c r="B594" t="s">
        <v>37</v>
      </c>
      <c r="C594" t="s">
        <v>13</v>
      </c>
      <c r="D594" t="s">
        <v>38</v>
      </c>
      <c r="E594" t="s">
        <v>39</v>
      </c>
      <c r="F594" s="1">
        <v>45352</v>
      </c>
      <c r="G594" t="s">
        <v>20</v>
      </c>
      <c r="H594" s="2">
        <v>33748.870000000003</v>
      </c>
      <c r="I594" s="2">
        <v>35612.870000000003</v>
      </c>
      <c r="J594" s="2">
        <v>32643.06</v>
      </c>
      <c r="K594" s="2">
        <v>35061.21</v>
      </c>
      <c r="L594" s="2">
        <f t="shared" si="36"/>
        <v>1864</v>
      </c>
      <c r="M594" s="4">
        <f t="shared" si="37"/>
        <v>5.5231478861366319E-2</v>
      </c>
      <c r="N594" s="2">
        <f t="shared" si="38"/>
        <v>-2969.8100000000013</v>
      </c>
      <c r="O594" s="6">
        <f t="shared" si="39"/>
        <v>0.91660851821265732</v>
      </c>
    </row>
    <row r="595" spans="1:15" x14ac:dyDescent="0.2">
      <c r="A595" t="s">
        <v>36</v>
      </c>
      <c r="B595" t="s">
        <v>37</v>
      </c>
      <c r="C595" t="s">
        <v>13</v>
      </c>
      <c r="D595" t="s">
        <v>38</v>
      </c>
      <c r="E595" t="s">
        <v>39</v>
      </c>
      <c r="F595" s="1">
        <v>45352</v>
      </c>
      <c r="G595" t="s">
        <v>21</v>
      </c>
      <c r="H595" s="2">
        <v>52024.77</v>
      </c>
      <c r="I595" s="2">
        <v>53582.36</v>
      </c>
      <c r="J595" s="2">
        <v>48427.43</v>
      </c>
      <c r="K595" s="2">
        <v>52481.88</v>
      </c>
      <c r="L595" s="2">
        <f t="shared" si="36"/>
        <v>1557.5900000000038</v>
      </c>
      <c r="M595" s="4">
        <f t="shared" si="37"/>
        <v>2.9939392331768191E-2</v>
      </c>
      <c r="N595" s="2">
        <f t="shared" si="38"/>
        <v>-5154.93</v>
      </c>
      <c r="O595" s="6">
        <f t="shared" si="39"/>
        <v>0.90379427109966792</v>
      </c>
    </row>
    <row r="596" spans="1:15" x14ac:dyDescent="0.2">
      <c r="A596" t="s">
        <v>36</v>
      </c>
      <c r="B596" t="s">
        <v>37</v>
      </c>
      <c r="C596" t="s">
        <v>13</v>
      </c>
      <c r="D596" t="s">
        <v>38</v>
      </c>
      <c r="E596" t="s">
        <v>39</v>
      </c>
      <c r="F596" s="1">
        <v>45383</v>
      </c>
      <c r="G596" t="s">
        <v>16</v>
      </c>
      <c r="H596" s="2">
        <v>315305.09999999998</v>
      </c>
      <c r="I596" s="2">
        <v>325776.42</v>
      </c>
      <c r="J596" s="2">
        <v>295571.37</v>
      </c>
      <c r="K596" s="2">
        <v>319300.31</v>
      </c>
      <c r="L596" s="2">
        <f t="shared" si="36"/>
        <v>10471.320000000007</v>
      </c>
      <c r="M596" s="4">
        <f t="shared" si="37"/>
        <v>3.3210119341552068E-2</v>
      </c>
      <c r="N596" s="2">
        <f t="shared" si="38"/>
        <v>-30205.049999999988</v>
      </c>
      <c r="O596" s="6">
        <f t="shared" si="39"/>
        <v>0.90728288437818794</v>
      </c>
    </row>
    <row r="597" spans="1:15" x14ac:dyDescent="0.2">
      <c r="A597" t="s">
        <v>36</v>
      </c>
      <c r="B597" t="s">
        <v>37</v>
      </c>
      <c r="C597" t="s">
        <v>13</v>
      </c>
      <c r="D597" t="s">
        <v>38</v>
      </c>
      <c r="E597" t="s">
        <v>39</v>
      </c>
      <c r="F597" s="1">
        <v>45383</v>
      </c>
      <c r="G597" t="s">
        <v>17</v>
      </c>
      <c r="H597" s="2">
        <v>248341.44</v>
      </c>
      <c r="I597" s="2">
        <v>269486.82</v>
      </c>
      <c r="J597" s="2">
        <v>238289.74</v>
      </c>
      <c r="K597" s="2">
        <v>266340.17</v>
      </c>
      <c r="L597" s="2">
        <f t="shared" si="36"/>
        <v>21145.380000000005</v>
      </c>
      <c r="M597" s="4">
        <f t="shared" si="37"/>
        <v>8.5146401663773894E-2</v>
      </c>
      <c r="N597" s="2">
        <f t="shared" si="38"/>
        <v>-31197.080000000016</v>
      </c>
      <c r="O597" s="6">
        <f t="shared" si="39"/>
        <v>0.88423522901787921</v>
      </c>
    </row>
    <row r="598" spans="1:15" x14ac:dyDescent="0.2">
      <c r="A598" t="s">
        <v>36</v>
      </c>
      <c r="B598" t="s">
        <v>37</v>
      </c>
      <c r="C598" t="s">
        <v>13</v>
      </c>
      <c r="D598" t="s">
        <v>38</v>
      </c>
      <c r="E598" t="s">
        <v>39</v>
      </c>
      <c r="F598" s="1">
        <v>45383</v>
      </c>
      <c r="G598" t="s">
        <v>18</v>
      </c>
      <c r="H598" s="2">
        <v>204454.09</v>
      </c>
      <c r="I598" s="2">
        <v>217064.55</v>
      </c>
      <c r="J598" s="2">
        <v>197860.34</v>
      </c>
      <c r="K598" s="2">
        <v>214985.59</v>
      </c>
      <c r="L598" s="2">
        <f t="shared" si="36"/>
        <v>12610.459999999992</v>
      </c>
      <c r="M598" s="4">
        <f t="shared" si="37"/>
        <v>6.1678687865818642E-2</v>
      </c>
      <c r="N598" s="2">
        <f t="shared" si="38"/>
        <v>-19204.209999999992</v>
      </c>
      <c r="O598" s="6">
        <f t="shared" si="39"/>
        <v>0.91152765387070345</v>
      </c>
    </row>
    <row r="599" spans="1:15" x14ac:dyDescent="0.2">
      <c r="A599" t="s">
        <v>36</v>
      </c>
      <c r="B599" t="s">
        <v>37</v>
      </c>
      <c r="C599" t="s">
        <v>13</v>
      </c>
      <c r="D599" t="s">
        <v>38</v>
      </c>
      <c r="E599" t="s">
        <v>39</v>
      </c>
      <c r="F599" s="1">
        <v>45383</v>
      </c>
      <c r="G599" t="s">
        <v>19</v>
      </c>
      <c r="H599" s="2">
        <v>146321.60999999999</v>
      </c>
      <c r="I599" s="2">
        <v>158246.74</v>
      </c>
      <c r="J599" s="2">
        <v>138350.15</v>
      </c>
      <c r="K599" s="2">
        <v>156011.37</v>
      </c>
      <c r="L599" s="2">
        <f t="shared" si="36"/>
        <v>11925.130000000005</v>
      </c>
      <c r="M599" s="4">
        <f t="shared" si="37"/>
        <v>8.1499444955533268E-2</v>
      </c>
      <c r="N599" s="2">
        <f t="shared" si="38"/>
        <v>-19896.589999999997</v>
      </c>
      <c r="O599" s="6">
        <f t="shared" si="39"/>
        <v>0.87426856313122159</v>
      </c>
    </row>
    <row r="600" spans="1:15" x14ac:dyDescent="0.2">
      <c r="A600" t="s">
        <v>36</v>
      </c>
      <c r="B600" t="s">
        <v>37</v>
      </c>
      <c r="C600" t="s">
        <v>13</v>
      </c>
      <c r="D600" t="s">
        <v>38</v>
      </c>
      <c r="E600" t="s">
        <v>39</v>
      </c>
      <c r="F600" s="1">
        <v>45383</v>
      </c>
      <c r="G600" t="s">
        <v>20</v>
      </c>
      <c r="H600" s="2">
        <v>34464.5</v>
      </c>
      <c r="I600" s="2">
        <v>34972.6</v>
      </c>
      <c r="J600" s="2">
        <v>32654.19</v>
      </c>
      <c r="K600" s="2">
        <v>34417.96</v>
      </c>
      <c r="L600" s="2">
        <f t="shared" si="36"/>
        <v>508.09999999999854</v>
      </c>
      <c r="M600" s="4">
        <f t="shared" si="37"/>
        <v>1.4742706262966199E-2</v>
      </c>
      <c r="N600" s="2">
        <f t="shared" si="38"/>
        <v>-2318.41</v>
      </c>
      <c r="O600" s="6">
        <f t="shared" si="39"/>
        <v>0.9337078169767189</v>
      </c>
    </row>
    <row r="601" spans="1:15" x14ac:dyDescent="0.2">
      <c r="A601" t="s">
        <v>36</v>
      </c>
      <c r="B601" t="s">
        <v>37</v>
      </c>
      <c r="C601" t="s">
        <v>13</v>
      </c>
      <c r="D601" t="s">
        <v>38</v>
      </c>
      <c r="E601" t="s">
        <v>39</v>
      </c>
      <c r="F601" s="1">
        <v>45383</v>
      </c>
      <c r="G601" t="s">
        <v>21</v>
      </c>
      <c r="H601" s="2">
        <v>54781.61</v>
      </c>
      <c r="I601" s="2">
        <v>57082.82</v>
      </c>
      <c r="J601" s="2">
        <v>53770.26</v>
      </c>
      <c r="K601" s="2">
        <v>56176.05</v>
      </c>
      <c r="L601" s="2">
        <f t="shared" si="36"/>
        <v>2301.2099999999991</v>
      </c>
      <c r="M601" s="4">
        <f t="shared" si="37"/>
        <v>4.2006980079628893E-2</v>
      </c>
      <c r="N601" s="2">
        <f t="shared" si="38"/>
        <v>-3312.5599999999977</v>
      </c>
      <c r="O601" s="6">
        <f t="shared" si="39"/>
        <v>0.94196922997146959</v>
      </c>
    </row>
    <row r="602" spans="1:15" x14ac:dyDescent="0.2">
      <c r="A602" t="s">
        <v>36</v>
      </c>
      <c r="B602" t="s">
        <v>37</v>
      </c>
      <c r="C602" t="s">
        <v>13</v>
      </c>
      <c r="D602" t="s">
        <v>38</v>
      </c>
      <c r="E602" t="s">
        <v>39</v>
      </c>
      <c r="F602" s="1">
        <v>45413</v>
      </c>
      <c r="G602" t="s">
        <v>16</v>
      </c>
      <c r="H602" s="2">
        <v>335879.29</v>
      </c>
      <c r="I602" s="2">
        <v>349983.12</v>
      </c>
      <c r="J602" s="2">
        <v>323489.12</v>
      </c>
      <c r="K602" s="2">
        <v>347588.56</v>
      </c>
      <c r="L602" s="2">
        <f t="shared" si="36"/>
        <v>14103.830000000016</v>
      </c>
      <c r="M602" s="4">
        <f t="shared" si="37"/>
        <v>4.1990769957861995E-2</v>
      </c>
      <c r="N602" s="2">
        <f t="shared" si="38"/>
        <v>-26494</v>
      </c>
      <c r="O602" s="6">
        <f t="shared" si="39"/>
        <v>0.92429920620171624</v>
      </c>
    </row>
    <row r="603" spans="1:15" x14ac:dyDescent="0.2">
      <c r="A603" t="s">
        <v>36</v>
      </c>
      <c r="B603" t="s">
        <v>37</v>
      </c>
      <c r="C603" t="s">
        <v>13</v>
      </c>
      <c r="D603" t="s">
        <v>38</v>
      </c>
      <c r="E603" t="s">
        <v>39</v>
      </c>
      <c r="F603" s="1">
        <v>45413</v>
      </c>
      <c r="G603" t="s">
        <v>17</v>
      </c>
      <c r="H603" s="2">
        <v>255061.21</v>
      </c>
      <c r="I603" s="2">
        <v>269295.33</v>
      </c>
      <c r="J603" s="2">
        <v>239223.73</v>
      </c>
      <c r="K603" s="2">
        <v>267959.44</v>
      </c>
      <c r="L603" s="2">
        <f t="shared" si="36"/>
        <v>14234.120000000024</v>
      </c>
      <c r="M603" s="4">
        <f t="shared" si="37"/>
        <v>5.580668263904192E-2</v>
      </c>
      <c r="N603" s="2">
        <f t="shared" si="38"/>
        <v>-30071.600000000006</v>
      </c>
      <c r="O603" s="6">
        <f t="shared" si="39"/>
        <v>0.88833226331849124</v>
      </c>
    </row>
    <row r="604" spans="1:15" x14ac:dyDescent="0.2">
      <c r="A604" t="s">
        <v>36</v>
      </c>
      <c r="B604" t="s">
        <v>37</v>
      </c>
      <c r="C604" t="s">
        <v>13</v>
      </c>
      <c r="D604" t="s">
        <v>38</v>
      </c>
      <c r="E604" t="s">
        <v>39</v>
      </c>
      <c r="F604" s="1">
        <v>45413</v>
      </c>
      <c r="G604" t="s">
        <v>18</v>
      </c>
      <c r="H604" s="2">
        <v>208012.3</v>
      </c>
      <c r="I604" s="2">
        <v>218150</v>
      </c>
      <c r="J604" s="2">
        <v>201892.06</v>
      </c>
      <c r="K604" s="2">
        <v>215761.04</v>
      </c>
      <c r="L604" s="2">
        <f t="shared" si="36"/>
        <v>10137.700000000012</v>
      </c>
      <c r="M604" s="4">
        <f t="shared" si="37"/>
        <v>4.8736060319510013E-2</v>
      </c>
      <c r="N604" s="2">
        <f t="shared" si="38"/>
        <v>-16257.940000000002</v>
      </c>
      <c r="O604" s="6">
        <f t="shared" si="39"/>
        <v>0.92547357322942925</v>
      </c>
    </row>
    <row r="605" spans="1:15" x14ac:dyDescent="0.2">
      <c r="A605" t="s">
        <v>36</v>
      </c>
      <c r="B605" t="s">
        <v>37</v>
      </c>
      <c r="C605" t="s">
        <v>13</v>
      </c>
      <c r="D605" t="s">
        <v>38</v>
      </c>
      <c r="E605" t="s">
        <v>39</v>
      </c>
      <c r="F605" s="1">
        <v>45413</v>
      </c>
      <c r="G605" t="s">
        <v>19</v>
      </c>
      <c r="H605" s="2">
        <v>148490.32</v>
      </c>
      <c r="I605" s="2">
        <v>159489.53</v>
      </c>
      <c r="J605" s="2">
        <v>141061.43</v>
      </c>
      <c r="K605" s="2">
        <v>156295.57999999999</v>
      </c>
      <c r="L605" s="2">
        <f t="shared" si="36"/>
        <v>10999.209999999992</v>
      </c>
      <c r="M605" s="4">
        <f t="shared" si="37"/>
        <v>7.4073582708960362E-2</v>
      </c>
      <c r="N605" s="2">
        <f t="shared" si="38"/>
        <v>-18428.100000000006</v>
      </c>
      <c r="O605" s="6">
        <f t="shared" si="39"/>
        <v>0.88445573825441703</v>
      </c>
    </row>
    <row r="606" spans="1:15" x14ac:dyDescent="0.2">
      <c r="A606" t="s">
        <v>36</v>
      </c>
      <c r="B606" t="s">
        <v>37</v>
      </c>
      <c r="C606" t="s">
        <v>13</v>
      </c>
      <c r="D606" t="s">
        <v>38</v>
      </c>
      <c r="E606" t="s">
        <v>39</v>
      </c>
      <c r="F606" s="1">
        <v>45413</v>
      </c>
      <c r="G606" t="s">
        <v>20</v>
      </c>
      <c r="H606" s="2">
        <v>34325.18</v>
      </c>
      <c r="I606" s="2">
        <v>36023.24</v>
      </c>
      <c r="J606" s="2">
        <v>34141.15</v>
      </c>
      <c r="K606" s="2">
        <v>35988.019999999997</v>
      </c>
      <c r="L606" s="2">
        <f t="shared" si="36"/>
        <v>1698.0599999999977</v>
      </c>
      <c r="M606" s="4">
        <f t="shared" si="37"/>
        <v>4.9469806130659696E-2</v>
      </c>
      <c r="N606" s="2">
        <f t="shared" si="38"/>
        <v>-1882.0899999999965</v>
      </c>
      <c r="O606" s="6">
        <f t="shared" si="39"/>
        <v>0.94775345027265745</v>
      </c>
    </row>
    <row r="607" spans="1:15" x14ac:dyDescent="0.2">
      <c r="A607" t="s">
        <v>36</v>
      </c>
      <c r="B607" t="s">
        <v>37</v>
      </c>
      <c r="C607" t="s">
        <v>13</v>
      </c>
      <c r="D607" t="s">
        <v>38</v>
      </c>
      <c r="E607" t="s">
        <v>39</v>
      </c>
      <c r="F607" s="1">
        <v>45413</v>
      </c>
      <c r="G607" t="s">
        <v>21</v>
      </c>
      <c r="H607" s="2">
        <v>53455.25</v>
      </c>
      <c r="I607" s="2">
        <v>58982.69</v>
      </c>
      <c r="J607" s="2">
        <v>50664.1</v>
      </c>
      <c r="K607" s="2">
        <v>57566.879999999997</v>
      </c>
      <c r="L607" s="2">
        <f t="shared" si="36"/>
        <v>5527.4400000000023</v>
      </c>
      <c r="M607" s="4">
        <f t="shared" si="37"/>
        <v>0.10340312691456877</v>
      </c>
      <c r="N607" s="2">
        <f t="shared" si="38"/>
        <v>-8318.5900000000038</v>
      </c>
      <c r="O607" s="6">
        <f t="shared" si="39"/>
        <v>0.85896557108534721</v>
      </c>
    </row>
    <row r="608" spans="1:15" x14ac:dyDescent="0.2">
      <c r="A608" t="s">
        <v>36</v>
      </c>
      <c r="B608" t="s">
        <v>37</v>
      </c>
      <c r="C608" t="s">
        <v>13</v>
      </c>
      <c r="D608" t="s">
        <v>38</v>
      </c>
      <c r="E608" t="s">
        <v>39</v>
      </c>
      <c r="F608" s="1">
        <v>45444</v>
      </c>
      <c r="G608" t="s">
        <v>16</v>
      </c>
      <c r="H608" s="2">
        <v>322501.03999999998</v>
      </c>
      <c r="I608" s="2">
        <v>354865.09</v>
      </c>
      <c r="J608" s="2">
        <v>310369.06</v>
      </c>
      <c r="K608" s="2">
        <v>348563.96</v>
      </c>
      <c r="L608" s="2">
        <f t="shared" si="36"/>
        <v>32364.050000000047</v>
      </c>
      <c r="M608" s="4">
        <f t="shared" si="37"/>
        <v>0.10035331979084486</v>
      </c>
      <c r="N608" s="2">
        <f t="shared" si="38"/>
        <v>-44496.030000000028</v>
      </c>
      <c r="O608" s="6">
        <f t="shared" si="39"/>
        <v>0.8746114192297697</v>
      </c>
    </row>
    <row r="609" spans="1:15" x14ac:dyDescent="0.2">
      <c r="A609" t="s">
        <v>36</v>
      </c>
      <c r="B609" t="s">
        <v>37</v>
      </c>
      <c r="C609" t="s">
        <v>13</v>
      </c>
      <c r="D609" t="s">
        <v>38</v>
      </c>
      <c r="E609" t="s">
        <v>39</v>
      </c>
      <c r="F609" s="1">
        <v>45444</v>
      </c>
      <c r="G609" t="s">
        <v>17</v>
      </c>
      <c r="H609" s="2">
        <v>260051.13</v>
      </c>
      <c r="I609" s="2">
        <v>277275.59999999998</v>
      </c>
      <c r="J609" s="2">
        <v>242551.24</v>
      </c>
      <c r="K609" s="2">
        <v>269859.40999999997</v>
      </c>
      <c r="L609" s="2">
        <f t="shared" si="36"/>
        <v>17224.469999999972</v>
      </c>
      <c r="M609" s="4">
        <f t="shared" si="37"/>
        <v>6.6234936183511187E-2</v>
      </c>
      <c r="N609" s="2">
        <f t="shared" si="38"/>
        <v>-34724.359999999986</v>
      </c>
      <c r="O609" s="6">
        <f t="shared" si="39"/>
        <v>0.87476590078607719</v>
      </c>
    </row>
    <row r="610" spans="1:15" x14ac:dyDescent="0.2">
      <c r="A610" t="s">
        <v>36</v>
      </c>
      <c r="B610" t="s">
        <v>37</v>
      </c>
      <c r="C610" t="s">
        <v>13</v>
      </c>
      <c r="D610" t="s">
        <v>38</v>
      </c>
      <c r="E610" t="s">
        <v>39</v>
      </c>
      <c r="F610" s="1">
        <v>45444</v>
      </c>
      <c r="G610" t="s">
        <v>18</v>
      </c>
      <c r="H610" s="2">
        <v>201922.41</v>
      </c>
      <c r="I610" s="2">
        <v>212989.57</v>
      </c>
      <c r="J610" s="2">
        <v>196835.64</v>
      </c>
      <c r="K610" s="2">
        <v>208214.45</v>
      </c>
      <c r="L610" s="2">
        <f t="shared" si="36"/>
        <v>11067.160000000003</v>
      </c>
      <c r="M610" s="4">
        <f t="shared" si="37"/>
        <v>5.4808973407161711E-2</v>
      </c>
      <c r="N610" s="2">
        <f t="shared" si="38"/>
        <v>-16153.929999999993</v>
      </c>
      <c r="O610" s="6">
        <f t="shared" si="39"/>
        <v>0.92415623919988199</v>
      </c>
    </row>
    <row r="611" spans="1:15" x14ac:dyDescent="0.2">
      <c r="A611" t="s">
        <v>36</v>
      </c>
      <c r="B611" t="s">
        <v>37</v>
      </c>
      <c r="C611" t="s">
        <v>13</v>
      </c>
      <c r="D611" t="s">
        <v>38</v>
      </c>
      <c r="E611" t="s">
        <v>39</v>
      </c>
      <c r="F611" s="1">
        <v>45444</v>
      </c>
      <c r="G611" t="s">
        <v>19</v>
      </c>
      <c r="H611" s="2">
        <v>153118.69</v>
      </c>
      <c r="I611" s="2">
        <v>161825.26999999999</v>
      </c>
      <c r="J611" s="2">
        <v>150851.21</v>
      </c>
      <c r="K611" s="2">
        <v>159734.03</v>
      </c>
      <c r="L611" s="2">
        <f t="shared" si="36"/>
        <v>8706.5799999999872</v>
      </c>
      <c r="M611" s="4">
        <f t="shared" si="37"/>
        <v>5.6861641122974517E-2</v>
      </c>
      <c r="N611" s="2">
        <f t="shared" si="38"/>
        <v>-10974.059999999998</v>
      </c>
      <c r="O611" s="6">
        <f t="shared" si="39"/>
        <v>0.93218574577382141</v>
      </c>
    </row>
    <row r="612" spans="1:15" x14ac:dyDescent="0.2">
      <c r="A612" t="s">
        <v>36</v>
      </c>
      <c r="B612" t="s">
        <v>37</v>
      </c>
      <c r="C612" t="s">
        <v>13</v>
      </c>
      <c r="D612" t="s">
        <v>38</v>
      </c>
      <c r="E612" t="s">
        <v>39</v>
      </c>
      <c r="F612" s="1">
        <v>45444</v>
      </c>
      <c r="G612" t="s">
        <v>20</v>
      </c>
      <c r="H612" s="2">
        <v>35678.29</v>
      </c>
      <c r="I612" s="2">
        <v>36521.410000000003</v>
      </c>
      <c r="J612" s="2">
        <v>33992.01</v>
      </c>
      <c r="K612" s="2">
        <v>36768.65</v>
      </c>
      <c r="L612" s="2">
        <f t="shared" si="36"/>
        <v>843.12000000000262</v>
      </c>
      <c r="M612" s="4">
        <f t="shared" si="37"/>
        <v>2.3631177391068982E-2</v>
      </c>
      <c r="N612" s="2">
        <f t="shared" si="38"/>
        <v>-2529.4000000000015</v>
      </c>
      <c r="O612" s="6">
        <f t="shared" si="39"/>
        <v>0.93074199490107301</v>
      </c>
    </row>
    <row r="613" spans="1:15" x14ac:dyDescent="0.2">
      <c r="A613" t="s">
        <v>36</v>
      </c>
      <c r="B613" t="s">
        <v>37</v>
      </c>
      <c r="C613" t="s">
        <v>13</v>
      </c>
      <c r="D613" t="s">
        <v>38</v>
      </c>
      <c r="E613" t="s">
        <v>39</v>
      </c>
      <c r="F613" s="1">
        <v>45444</v>
      </c>
      <c r="G613" t="s">
        <v>21</v>
      </c>
      <c r="H613" s="2">
        <v>54468.01</v>
      </c>
      <c r="I613" s="2">
        <v>56770.8</v>
      </c>
      <c r="J613" s="2">
        <v>52364</v>
      </c>
      <c r="K613" s="2">
        <v>56208.27</v>
      </c>
      <c r="L613" s="2">
        <f t="shared" si="36"/>
        <v>2302.7900000000009</v>
      </c>
      <c r="M613" s="4">
        <f t="shared" si="37"/>
        <v>4.2277843453432586E-2</v>
      </c>
      <c r="N613" s="2">
        <f t="shared" si="38"/>
        <v>-4406.8000000000029</v>
      </c>
      <c r="O613" s="6">
        <f t="shared" si="39"/>
        <v>0.92237558744988613</v>
      </c>
    </row>
    <row r="614" spans="1:15" x14ac:dyDescent="0.2">
      <c r="A614" t="s">
        <v>36</v>
      </c>
      <c r="B614" t="s">
        <v>37</v>
      </c>
      <c r="C614" t="s">
        <v>13</v>
      </c>
      <c r="D614" t="s">
        <v>38</v>
      </c>
      <c r="E614" t="s">
        <v>39</v>
      </c>
      <c r="F614" s="1">
        <v>45474</v>
      </c>
      <c r="G614" t="s">
        <v>16</v>
      </c>
      <c r="H614" s="2">
        <v>330038.92</v>
      </c>
      <c r="I614" s="2">
        <v>350246.75</v>
      </c>
      <c r="J614" s="2">
        <v>307195.15999999997</v>
      </c>
      <c r="K614" s="2">
        <v>346504.16</v>
      </c>
      <c r="L614" s="2">
        <f t="shared" si="36"/>
        <v>20207.830000000016</v>
      </c>
      <c r="M614" s="4">
        <f t="shared" si="37"/>
        <v>6.1228627217662743E-2</v>
      </c>
      <c r="N614" s="2">
        <f t="shared" si="38"/>
        <v>-43051.590000000026</v>
      </c>
      <c r="O614" s="6">
        <f t="shared" si="39"/>
        <v>0.8770821142523092</v>
      </c>
    </row>
    <row r="615" spans="1:15" x14ac:dyDescent="0.2">
      <c r="A615" t="s">
        <v>36</v>
      </c>
      <c r="B615" t="s">
        <v>37</v>
      </c>
      <c r="C615" t="s">
        <v>13</v>
      </c>
      <c r="D615" t="s">
        <v>38</v>
      </c>
      <c r="E615" t="s">
        <v>39</v>
      </c>
      <c r="F615" s="1">
        <v>45474</v>
      </c>
      <c r="G615" t="s">
        <v>17</v>
      </c>
      <c r="H615" s="2">
        <v>272065.86</v>
      </c>
      <c r="I615" s="2">
        <v>275793.28999999998</v>
      </c>
      <c r="J615" s="2">
        <v>268815.37</v>
      </c>
      <c r="K615" s="2">
        <v>272487.26</v>
      </c>
      <c r="L615" s="2">
        <f t="shared" si="36"/>
        <v>3727.429999999993</v>
      </c>
      <c r="M615" s="4">
        <f t="shared" si="37"/>
        <v>1.3700469437804483E-2</v>
      </c>
      <c r="N615" s="2">
        <f t="shared" si="38"/>
        <v>-6977.9199999999837</v>
      </c>
      <c r="O615" s="6">
        <f t="shared" si="39"/>
        <v>0.97469873179293087</v>
      </c>
    </row>
    <row r="616" spans="1:15" x14ac:dyDescent="0.2">
      <c r="A616" t="s">
        <v>36</v>
      </c>
      <c r="B616" t="s">
        <v>37</v>
      </c>
      <c r="C616" t="s">
        <v>13</v>
      </c>
      <c r="D616" t="s">
        <v>38</v>
      </c>
      <c r="E616" t="s">
        <v>39</v>
      </c>
      <c r="F616" s="1">
        <v>45474</v>
      </c>
      <c r="G616" t="s">
        <v>18</v>
      </c>
      <c r="H616" s="2">
        <v>216177.29</v>
      </c>
      <c r="I616" s="2">
        <v>229020.38</v>
      </c>
      <c r="J616" s="2">
        <v>214628.14</v>
      </c>
      <c r="K616" s="2">
        <v>224548.52</v>
      </c>
      <c r="L616" s="2">
        <f t="shared" si="36"/>
        <v>12843.089999999997</v>
      </c>
      <c r="M616" s="4">
        <f t="shared" si="37"/>
        <v>5.940998705275654E-2</v>
      </c>
      <c r="N616" s="2">
        <f t="shared" si="38"/>
        <v>-14392.239999999991</v>
      </c>
      <c r="O616" s="6">
        <f t="shared" si="39"/>
        <v>0.93715738311149432</v>
      </c>
    </row>
    <row r="617" spans="1:15" x14ac:dyDescent="0.2">
      <c r="A617" t="s">
        <v>36</v>
      </c>
      <c r="B617" t="s">
        <v>37</v>
      </c>
      <c r="C617" t="s">
        <v>13</v>
      </c>
      <c r="D617" t="s">
        <v>38</v>
      </c>
      <c r="E617" t="s">
        <v>39</v>
      </c>
      <c r="F617" s="1">
        <v>45474</v>
      </c>
      <c r="G617" t="s">
        <v>19</v>
      </c>
      <c r="H617" s="2">
        <v>155795.89000000001</v>
      </c>
      <c r="I617" s="2">
        <v>160377.54999999999</v>
      </c>
      <c r="J617" s="2">
        <v>150175.79999999999</v>
      </c>
      <c r="K617" s="2">
        <v>160406.13</v>
      </c>
      <c r="L617" s="2">
        <f t="shared" si="36"/>
        <v>4581.6599999999744</v>
      </c>
      <c r="M617" s="4">
        <f t="shared" si="37"/>
        <v>2.9408092857905136E-2</v>
      </c>
      <c r="N617" s="2">
        <f t="shared" si="38"/>
        <v>-10201.75</v>
      </c>
      <c r="O617" s="6">
        <f t="shared" si="39"/>
        <v>0.93638916419411566</v>
      </c>
    </row>
    <row r="618" spans="1:15" x14ac:dyDescent="0.2">
      <c r="A618" t="s">
        <v>36</v>
      </c>
      <c r="B618" t="s">
        <v>37</v>
      </c>
      <c r="C618" t="s">
        <v>13</v>
      </c>
      <c r="D618" t="s">
        <v>38</v>
      </c>
      <c r="E618" t="s">
        <v>39</v>
      </c>
      <c r="F618" s="1">
        <v>45474</v>
      </c>
      <c r="G618" t="s">
        <v>20</v>
      </c>
      <c r="H618" s="2">
        <v>34776.36</v>
      </c>
      <c r="I618" s="2">
        <v>35748.79</v>
      </c>
      <c r="J618" s="2">
        <v>32610.84</v>
      </c>
      <c r="K618" s="2">
        <v>35926.720000000001</v>
      </c>
      <c r="L618" s="2">
        <f t="shared" si="36"/>
        <v>972.43000000000029</v>
      </c>
      <c r="M618" s="4">
        <f t="shared" si="37"/>
        <v>2.7962385942634602E-2</v>
      </c>
      <c r="N618" s="2">
        <f t="shared" si="38"/>
        <v>-3137.9500000000007</v>
      </c>
      <c r="O618" s="6">
        <f t="shared" si="39"/>
        <v>0.91222220388438324</v>
      </c>
    </row>
    <row r="619" spans="1:15" x14ac:dyDescent="0.2">
      <c r="A619" t="s">
        <v>36</v>
      </c>
      <c r="B619" t="s">
        <v>37</v>
      </c>
      <c r="C619" t="s">
        <v>13</v>
      </c>
      <c r="D619" t="s">
        <v>38</v>
      </c>
      <c r="E619" t="s">
        <v>39</v>
      </c>
      <c r="F619" s="1">
        <v>45474</v>
      </c>
      <c r="G619" t="s">
        <v>21</v>
      </c>
      <c r="H619" s="2">
        <v>57867.97</v>
      </c>
      <c r="I619" s="2">
        <v>60888.62</v>
      </c>
      <c r="J619" s="2">
        <v>53541.46</v>
      </c>
      <c r="K619" s="2">
        <v>59441.06</v>
      </c>
      <c r="L619" s="2">
        <f t="shared" si="36"/>
        <v>3020.6500000000015</v>
      </c>
      <c r="M619" s="4">
        <f t="shared" si="37"/>
        <v>5.2198997130882621E-2</v>
      </c>
      <c r="N619" s="2">
        <f t="shared" si="38"/>
        <v>-7347.1600000000035</v>
      </c>
      <c r="O619" s="6">
        <f t="shared" si="39"/>
        <v>0.87933443063744909</v>
      </c>
    </row>
    <row r="620" spans="1:15" x14ac:dyDescent="0.2">
      <c r="A620" t="s">
        <v>36</v>
      </c>
      <c r="B620" t="s">
        <v>37</v>
      </c>
      <c r="C620" t="s">
        <v>13</v>
      </c>
      <c r="D620" t="s">
        <v>38</v>
      </c>
      <c r="E620" t="s">
        <v>39</v>
      </c>
      <c r="F620" s="1">
        <v>45505</v>
      </c>
      <c r="G620" t="s">
        <v>16</v>
      </c>
      <c r="H620" s="2">
        <v>346731.92</v>
      </c>
      <c r="I620" s="2">
        <v>366605.2</v>
      </c>
      <c r="J620" s="2">
        <v>327665.65999999997</v>
      </c>
      <c r="K620" s="2">
        <v>363452.15999999997</v>
      </c>
      <c r="L620" s="2">
        <f t="shared" si="36"/>
        <v>19873.280000000028</v>
      </c>
      <c r="M620" s="4">
        <f t="shared" si="37"/>
        <v>5.7315980599651824E-2</v>
      </c>
      <c r="N620" s="2">
        <f t="shared" si="38"/>
        <v>-38939.540000000037</v>
      </c>
      <c r="O620" s="6">
        <f t="shared" si="39"/>
        <v>0.89378344878905147</v>
      </c>
    </row>
    <row r="621" spans="1:15" x14ac:dyDescent="0.2">
      <c r="A621" t="s">
        <v>36</v>
      </c>
      <c r="B621" t="s">
        <v>37</v>
      </c>
      <c r="C621" t="s">
        <v>13</v>
      </c>
      <c r="D621" t="s">
        <v>38</v>
      </c>
      <c r="E621" t="s">
        <v>39</v>
      </c>
      <c r="F621" s="1">
        <v>45505</v>
      </c>
      <c r="G621" t="s">
        <v>17</v>
      </c>
      <c r="H621" s="2">
        <v>274118.82</v>
      </c>
      <c r="I621" s="2">
        <v>288884.53000000003</v>
      </c>
      <c r="J621" s="2">
        <v>254185.76</v>
      </c>
      <c r="K621" s="2">
        <v>284087.92</v>
      </c>
      <c r="L621" s="2">
        <f t="shared" si="36"/>
        <v>14765.710000000021</v>
      </c>
      <c r="M621" s="4">
        <f t="shared" si="37"/>
        <v>5.3866093542938864E-2</v>
      </c>
      <c r="N621" s="2">
        <f t="shared" si="38"/>
        <v>-34698.770000000019</v>
      </c>
      <c r="O621" s="6">
        <f t="shared" si="39"/>
        <v>0.87988706075745904</v>
      </c>
    </row>
    <row r="622" spans="1:15" x14ac:dyDescent="0.2">
      <c r="A622" t="s">
        <v>36</v>
      </c>
      <c r="B622" t="s">
        <v>37</v>
      </c>
      <c r="C622" t="s">
        <v>13</v>
      </c>
      <c r="D622" t="s">
        <v>38</v>
      </c>
      <c r="E622" t="s">
        <v>39</v>
      </c>
      <c r="F622" s="1">
        <v>45505</v>
      </c>
      <c r="G622" t="s">
        <v>18</v>
      </c>
      <c r="H622" s="2">
        <v>210386.28</v>
      </c>
      <c r="I622" s="2">
        <v>220777.12</v>
      </c>
      <c r="J622" s="2">
        <v>202174.83</v>
      </c>
      <c r="K622" s="2">
        <v>215899.27</v>
      </c>
      <c r="L622" s="2">
        <f t="shared" si="36"/>
        <v>10390.839999999997</v>
      </c>
      <c r="M622" s="4">
        <f t="shared" si="37"/>
        <v>4.9389342308823546E-2</v>
      </c>
      <c r="N622" s="2">
        <f t="shared" si="38"/>
        <v>-18602.290000000008</v>
      </c>
      <c r="O622" s="6">
        <f t="shared" si="39"/>
        <v>0.91574176708166133</v>
      </c>
    </row>
    <row r="623" spans="1:15" x14ac:dyDescent="0.2">
      <c r="A623" t="s">
        <v>36</v>
      </c>
      <c r="B623" t="s">
        <v>37</v>
      </c>
      <c r="C623" t="s">
        <v>13</v>
      </c>
      <c r="D623" t="s">
        <v>38</v>
      </c>
      <c r="E623" t="s">
        <v>39</v>
      </c>
      <c r="F623" s="1">
        <v>45505</v>
      </c>
      <c r="G623" t="s">
        <v>19</v>
      </c>
      <c r="H623" s="2">
        <v>151672.79999999999</v>
      </c>
      <c r="I623" s="2">
        <v>162424.71</v>
      </c>
      <c r="J623" s="2">
        <v>145410.92000000001</v>
      </c>
      <c r="K623" s="2">
        <v>157500.39000000001</v>
      </c>
      <c r="L623" s="2">
        <f t="shared" si="36"/>
        <v>10751.910000000003</v>
      </c>
      <c r="M623" s="4">
        <f t="shared" si="37"/>
        <v>7.0888847571878438E-2</v>
      </c>
      <c r="N623" s="2">
        <f t="shared" si="38"/>
        <v>-17013.789999999979</v>
      </c>
      <c r="O623" s="6">
        <f t="shared" si="39"/>
        <v>0.89525122131971191</v>
      </c>
    </row>
    <row r="624" spans="1:15" x14ac:dyDescent="0.2">
      <c r="A624" t="s">
        <v>36</v>
      </c>
      <c r="B624" t="s">
        <v>37</v>
      </c>
      <c r="C624" t="s">
        <v>13</v>
      </c>
      <c r="D624" t="s">
        <v>38</v>
      </c>
      <c r="E624" t="s">
        <v>39</v>
      </c>
      <c r="F624" s="1">
        <v>45505</v>
      </c>
      <c r="G624" t="s">
        <v>20</v>
      </c>
      <c r="H624" s="2">
        <v>37401.31</v>
      </c>
      <c r="I624" s="2">
        <v>40120.31</v>
      </c>
      <c r="J624" s="2">
        <v>34923.449999999997</v>
      </c>
      <c r="K624" s="2">
        <v>38851.57</v>
      </c>
      <c r="L624" s="2">
        <f t="shared" si="36"/>
        <v>2719</v>
      </c>
      <c r="M624" s="4">
        <f t="shared" si="37"/>
        <v>7.2697988385968304E-2</v>
      </c>
      <c r="N624" s="2">
        <f t="shared" si="38"/>
        <v>-5196.8600000000006</v>
      </c>
      <c r="O624" s="6">
        <f t="shared" si="39"/>
        <v>0.87046809957350779</v>
      </c>
    </row>
    <row r="625" spans="1:15" x14ac:dyDescent="0.2">
      <c r="A625" t="s">
        <v>36</v>
      </c>
      <c r="B625" t="s">
        <v>37</v>
      </c>
      <c r="C625" t="s">
        <v>13</v>
      </c>
      <c r="D625" t="s">
        <v>38</v>
      </c>
      <c r="E625" t="s">
        <v>39</v>
      </c>
      <c r="F625" s="1">
        <v>45505</v>
      </c>
      <c r="G625" t="s">
        <v>21</v>
      </c>
      <c r="H625" s="2">
        <v>56627.64</v>
      </c>
      <c r="I625" s="2">
        <v>59725.1</v>
      </c>
      <c r="J625" s="2">
        <v>55782.92</v>
      </c>
      <c r="K625" s="2">
        <v>58096</v>
      </c>
      <c r="L625" s="2">
        <f t="shared" si="36"/>
        <v>3097.4599999999991</v>
      </c>
      <c r="M625" s="4">
        <f t="shared" si="37"/>
        <v>5.4698730160748339E-2</v>
      </c>
      <c r="N625" s="2">
        <f t="shared" si="38"/>
        <v>-3942.1800000000003</v>
      </c>
      <c r="O625" s="6">
        <f t="shared" si="39"/>
        <v>0.93399458519115075</v>
      </c>
    </row>
    <row r="626" spans="1:15" x14ac:dyDescent="0.2">
      <c r="A626" t="s">
        <v>36</v>
      </c>
      <c r="B626" t="s">
        <v>37</v>
      </c>
      <c r="C626" t="s">
        <v>13</v>
      </c>
      <c r="D626" t="s">
        <v>38</v>
      </c>
      <c r="E626" t="s">
        <v>39</v>
      </c>
      <c r="F626" s="1">
        <v>45536</v>
      </c>
      <c r="G626" t="s">
        <v>16</v>
      </c>
      <c r="H626" s="2">
        <v>340798.26</v>
      </c>
      <c r="I626" s="2">
        <v>350191.73</v>
      </c>
      <c r="J626" s="2">
        <v>332748.46000000002</v>
      </c>
      <c r="K626" s="2">
        <v>346137.49</v>
      </c>
      <c r="L626" s="2">
        <f t="shared" si="36"/>
        <v>9393.4699999999721</v>
      </c>
      <c r="M626" s="4">
        <f t="shared" si="37"/>
        <v>2.7563139553588013E-2</v>
      </c>
      <c r="N626" s="2">
        <f t="shared" si="38"/>
        <v>-17443.26999999996</v>
      </c>
      <c r="O626" s="6">
        <f t="shared" si="39"/>
        <v>0.95018937197631714</v>
      </c>
    </row>
    <row r="627" spans="1:15" x14ac:dyDescent="0.2">
      <c r="A627" t="s">
        <v>36</v>
      </c>
      <c r="B627" t="s">
        <v>37</v>
      </c>
      <c r="C627" t="s">
        <v>13</v>
      </c>
      <c r="D627" t="s">
        <v>38</v>
      </c>
      <c r="E627" t="s">
        <v>39</v>
      </c>
      <c r="F627" s="1">
        <v>45536</v>
      </c>
      <c r="G627" t="s">
        <v>17</v>
      </c>
      <c r="H627" s="2">
        <v>266108.19</v>
      </c>
      <c r="I627" s="2">
        <v>280008.93</v>
      </c>
      <c r="J627" s="2">
        <v>255513.39</v>
      </c>
      <c r="K627" s="2">
        <v>277195.11</v>
      </c>
      <c r="L627" s="2">
        <f t="shared" si="36"/>
        <v>13900.739999999991</v>
      </c>
      <c r="M627" s="4">
        <f t="shared" si="37"/>
        <v>5.2237174661929758E-2</v>
      </c>
      <c r="N627" s="2">
        <f t="shared" si="38"/>
        <v>-24495.539999999979</v>
      </c>
      <c r="O627" s="6">
        <f t="shared" si="39"/>
        <v>0.912518718599439</v>
      </c>
    </row>
    <row r="628" spans="1:15" x14ac:dyDescent="0.2">
      <c r="A628" t="s">
        <v>36</v>
      </c>
      <c r="B628" t="s">
        <v>37</v>
      </c>
      <c r="C628" t="s">
        <v>13</v>
      </c>
      <c r="D628" t="s">
        <v>38</v>
      </c>
      <c r="E628" t="s">
        <v>39</v>
      </c>
      <c r="F628" s="1">
        <v>45536</v>
      </c>
      <c r="G628" t="s">
        <v>18</v>
      </c>
      <c r="H628" s="2">
        <v>209370.9</v>
      </c>
      <c r="I628" s="2">
        <v>227036.87</v>
      </c>
      <c r="J628" s="2">
        <v>203284.98</v>
      </c>
      <c r="K628" s="2">
        <v>223447.21</v>
      </c>
      <c r="L628" s="2">
        <f t="shared" si="36"/>
        <v>17665.97</v>
      </c>
      <c r="M628" s="4">
        <f t="shared" si="37"/>
        <v>8.4376434356445915E-2</v>
      </c>
      <c r="N628" s="2">
        <f t="shared" si="38"/>
        <v>-23751.889999999985</v>
      </c>
      <c r="O628" s="6">
        <f t="shared" si="39"/>
        <v>0.89538311552656635</v>
      </c>
    </row>
    <row r="629" spans="1:15" x14ac:dyDescent="0.2">
      <c r="A629" t="s">
        <v>36</v>
      </c>
      <c r="B629" t="s">
        <v>37</v>
      </c>
      <c r="C629" t="s">
        <v>13</v>
      </c>
      <c r="D629" t="s">
        <v>38</v>
      </c>
      <c r="E629" t="s">
        <v>39</v>
      </c>
      <c r="F629" s="1">
        <v>45536</v>
      </c>
      <c r="G629" t="s">
        <v>19</v>
      </c>
      <c r="H629" s="2">
        <v>160243.76999999999</v>
      </c>
      <c r="I629" s="2">
        <v>166537.38</v>
      </c>
      <c r="J629" s="2">
        <v>148831.06</v>
      </c>
      <c r="K629" s="2">
        <v>164843.12</v>
      </c>
      <c r="L629" s="2">
        <f t="shared" si="36"/>
        <v>6293.6100000000151</v>
      </c>
      <c r="M629" s="4">
        <f t="shared" si="37"/>
        <v>3.9275224241167167E-2</v>
      </c>
      <c r="N629" s="2">
        <f t="shared" si="38"/>
        <v>-17706.320000000007</v>
      </c>
      <c r="O629" s="6">
        <f t="shared" si="39"/>
        <v>0.89367960514330169</v>
      </c>
    </row>
    <row r="630" spans="1:15" x14ac:dyDescent="0.2">
      <c r="A630" t="s">
        <v>36</v>
      </c>
      <c r="B630" t="s">
        <v>37</v>
      </c>
      <c r="C630" t="s">
        <v>13</v>
      </c>
      <c r="D630" t="s">
        <v>38</v>
      </c>
      <c r="E630" t="s">
        <v>39</v>
      </c>
      <c r="F630" s="1">
        <v>45536</v>
      </c>
      <c r="G630" t="s">
        <v>20</v>
      </c>
      <c r="H630" s="2">
        <v>37200.03</v>
      </c>
      <c r="I630" s="2">
        <v>41275.519999999997</v>
      </c>
      <c r="J630" s="2">
        <v>34814.43</v>
      </c>
      <c r="K630" s="2">
        <v>39772.620000000003</v>
      </c>
      <c r="L630" s="2">
        <f t="shared" si="36"/>
        <v>4075.489999999998</v>
      </c>
      <c r="M630" s="4">
        <f t="shared" si="37"/>
        <v>0.10955609444400981</v>
      </c>
      <c r="N630" s="2">
        <f t="shared" si="38"/>
        <v>-6461.0899999999965</v>
      </c>
      <c r="O630" s="6">
        <f t="shared" si="39"/>
        <v>0.84346435853503487</v>
      </c>
    </row>
    <row r="631" spans="1:15" x14ac:dyDescent="0.2">
      <c r="A631" t="s">
        <v>36</v>
      </c>
      <c r="B631" t="s">
        <v>37</v>
      </c>
      <c r="C631" t="s">
        <v>13</v>
      </c>
      <c r="D631" t="s">
        <v>38</v>
      </c>
      <c r="E631" t="s">
        <v>39</v>
      </c>
      <c r="F631" s="1">
        <v>45536</v>
      </c>
      <c r="G631" t="s">
        <v>21</v>
      </c>
      <c r="H631" s="2">
        <v>55845.760000000002</v>
      </c>
      <c r="I631" s="2">
        <v>58775.93</v>
      </c>
      <c r="J631" s="2">
        <v>54180.97</v>
      </c>
      <c r="K631" s="2">
        <v>58432.14</v>
      </c>
      <c r="L631" s="2">
        <f t="shared" si="36"/>
        <v>2930.1699999999983</v>
      </c>
      <c r="M631" s="4">
        <f t="shared" si="37"/>
        <v>5.2468978844589065E-2</v>
      </c>
      <c r="N631" s="2">
        <f t="shared" si="38"/>
        <v>-4594.9599999999991</v>
      </c>
      <c r="O631" s="6">
        <f t="shared" si="39"/>
        <v>0.92182241948362198</v>
      </c>
    </row>
    <row r="632" spans="1:15" x14ac:dyDescent="0.2">
      <c r="A632" t="s">
        <v>36</v>
      </c>
      <c r="B632" t="s">
        <v>37</v>
      </c>
      <c r="C632" t="s">
        <v>13</v>
      </c>
      <c r="D632" t="s">
        <v>38</v>
      </c>
      <c r="E632" t="s">
        <v>39</v>
      </c>
      <c r="F632" s="1">
        <v>45566</v>
      </c>
      <c r="G632" t="s">
        <v>16</v>
      </c>
      <c r="H632" s="2">
        <v>338727.44</v>
      </c>
      <c r="I632" s="2">
        <v>336396.53</v>
      </c>
      <c r="J632" s="2">
        <v>341381.25</v>
      </c>
      <c r="K632" s="2">
        <v>341001.84</v>
      </c>
      <c r="L632" s="2">
        <f t="shared" si="36"/>
        <v>-2330.9099999999744</v>
      </c>
      <c r="M632" s="4">
        <f t="shared" si="37"/>
        <v>-6.8813734133850342E-3</v>
      </c>
      <c r="N632" s="2">
        <f t="shared" si="38"/>
        <v>4984.7199999999721</v>
      </c>
      <c r="O632" s="6">
        <f t="shared" si="39"/>
        <v>1.014817988758683</v>
      </c>
    </row>
    <row r="633" spans="1:15" x14ac:dyDescent="0.2">
      <c r="A633" t="s">
        <v>36</v>
      </c>
      <c r="B633" t="s">
        <v>37</v>
      </c>
      <c r="C633" t="s">
        <v>13</v>
      </c>
      <c r="D633" t="s">
        <v>38</v>
      </c>
      <c r="E633" t="s">
        <v>39</v>
      </c>
      <c r="F633" s="1">
        <v>45566</v>
      </c>
      <c r="G633" t="s">
        <v>17</v>
      </c>
      <c r="H633" s="2">
        <v>267351.11</v>
      </c>
      <c r="I633" s="2">
        <v>270837.28000000003</v>
      </c>
      <c r="J633" s="2">
        <v>269852.48</v>
      </c>
      <c r="K633" s="2">
        <v>272152.81</v>
      </c>
      <c r="L633" s="2">
        <f t="shared" si="36"/>
        <v>3486.1700000000419</v>
      </c>
      <c r="M633" s="4">
        <f t="shared" si="37"/>
        <v>1.3039669070384792E-2</v>
      </c>
      <c r="N633" s="2">
        <f t="shared" si="38"/>
        <v>-984.80000000004657</v>
      </c>
      <c r="O633" s="6">
        <f t="shared" si="39"/>
        <v>0.99636386837144408</v>
      </c>
    </row>
    <row r="634" spans="1:15" x14ac:dyDescent="0.2">
      <c r="A634" t="s">
        <v>36</v>
      </c>
      <c r="B634" t="s">
        <v>37</v>
      </c>
      <c r="C634" t="s">
        <v>13</v>
      </c>
      <c r="D634" t="s">
        <v>38</v>
      </c>
      <c r="E634" t="s">
        <v>39</v>
      </c>
      <c r="F634" s="1">
        <v>45566</v>
      </c>
      <c r="G634" t="s">
        <v>18</v>
      </c>
      <c r="H634" s="2">
        <v>211295.94</v>
      </c>
      <c r="I634" s="2">
        <v>208709.8</v>
      </c>
      <c r="J634" s="2">
        <v>216904.87</v>
      </c>
      <c r="K634" s="2">
        <v>211925.47</v>
      </c>
      <c r="L634" s="2">
        <f t="shared" si="36"/>
        <v>-2586.140000000014</v>
      </c>
      <c r="M634" s="4">
        <f t="shared" si="37"/>
        <v>-1.223942116445784E-2</v>
      </c>
      <c r="N634" s="2">
        <f t="shared" si="38"/>
        <v>8195.070000000007</v>
      </c>
      <c r="O634" s="6">
        <f t="shared" si="39"/>
        <v>1.0392653818843198</v>
      </c>
    </row>
    <row r="635" spans="1:15" x14ac:dyDescent="0.2">
      <c r="A635" t="s">
        <v>36</v>
      </c>
      <c r="B635" t="s">
        <v>37</v>
      </c>
      <c r="C635" t="s">
        <v>13</v>
      </c>
      <c r="D635" t="s">
        <v>38</v>
      </c>
      <c r="E635" t="s">
        <v>39</v>
      </c>
      <c r="F635" s="1">
        <v>45566</v>
      </c>
      <c r="G635" t="s">
        <v>19</v>
      </c>
      <c r="H635" s="2">
        <v>151726.51</v>
      </c>
      <c r="I635" s="2">
        <v>152706.48000000001</v>
      </c>
      <c r="J635" s="2">
        <v>153850.66</v>
      </c>
      <c r="K635" s="2">
        <v>152974.13</v>
      </c>
      <c r="L635" s="2">
        <f t="shared" si="36"/>
        <v>979.97000000000116</v>
      </c>
      <c r="M635" s="4">
        <f t="shared" si="37"/>
        <v>6.4587922044737015E-3</v>
      </c>
      <c r="N635" s="2">
        <f t="shared" si="38"/>
        <v>1144.179999999993</v>
      </c>
      <c r="O635" s="6">
        <f t="shared" si="39"/>
        <v>1.0074926748360646</v>
      </c>
    </row>
    <row r="636" spans="1:15" x14ac:dyDescent="0.2">
      <c r="A636" t="s">
        <v>36</v>
      </c>
      <c r="B636" t="s">
        <v>37</v>
      </c>
      <c r="C636" t="s">
        <v>13</v>
      </c>
      <c r="D636" t="s">
        <v>38</v>
      </c>
      <c r="E636" t="s">
        <v>39</v>
      </c>
      <c r="F636" s="1">
        <v>45566</v>
      </c>
      <c r="G636" t="s">
        <v>20</v>
      </c>
      <c r="H636" s="2">
        <v>36479.410000000003</v>
      </c>
      <c r="I636" s="2">
        <v>36339.93</v>
      </c>
      <c r="J636" s="2">
        <v>36953.46</v>
      </c>
      <c r="K636" s="2">
        <v>36674.39</v>
      </c>
      <c r="L636" s="2">
        <f t="shared" si="36"/>
        <v>-139.4800000000032</v>
      </c>
      <c r="M636" s="4">
        <f t="shared" si="37"/>
        <v>-3.8235267511180469E-3</v>
      </c>
      <c r="N636" s="2">
        <f t="shared" si="38"/>
        <v>613.52999999999884</v>
      </c>
      <c r="O636" s="6">
        <f t="shared" si="39"/>
        <v>1.0168830815029088</v>
      </c>
    </row>
    <row r="637" spans="1:15" x14ac:dyDescent="0.2">
      <c r="A637" t="s">
        <v>36</v>
      </c>
      <c r="B637" t="s">
        <v>37</v>
      </c>
      <c r="C637" t="s">
        <v>13</v>
      </c>
      <c r="D637" t="s">
        <v>38</v>
      </c>
      <c r="E637" t="s">
        <v>39</v>
      </c>
      <c r="F637" s="1">
        <v>45566</v>
      </c>
      <c r="G637" t="s">
        <v>21</v>
      </c>
      <c r="H637" s="2">
        <v>56940.35</v>
      </c>
      <c r="I637" s="2">
        <v>58478.15</v>
      </c>
      <c r="J637" s="2">
        <v>57685.43</v>
      </c>
      <c r="K637" s="2">
        <v>57264.59</v>
      </c>
      <c r="L637" s="2">
        <f t="shared" si="36"/>
        <v>1537.8000000000029</v>
      </c>
      <c r="M637" s="4">
        <f t="shared" si="37"/>
        <v>2.7007210176965946E-2</v>
      </c>
      <c r="N637" s="2">
        <f t="shared" si="38"/>
        <v>-792.72000000000116</v>
      </c>
      <c r="O637" s="6">
        <f t="shared" si="39"/>
        <v>0.98644416760790143</v>
      </c>
    </row>
    <row r="638" spans="1:15" x14ac:dyDescent="0.2">
      <c r="A638" t="s">
        <v>36</v>
      </c>
      <c r="B638" t="s">
        <v>37</v>
      </c>
      <c r="C638" t="s">
        <v>13</v>
      </c>
      <c r="D638" t="s">
        <v>38</v>
      </c>
      <c r="E638" t="s">
        <v>39</v>
      </c>
      <c r="F638" s="1">
        <v>45597</v>
      </c>
      <c r="G638" t="s">
        <v>16</v>
      </c>
      <c r="H638" s="2">
        <v>349874.77</v>
      </c>
      <c r="I638" s="2">
        <v>360711.04</v>
      </c>
      <c r="J638" s="2">
        <v>357649.12</v>
      </c>
      <c r="K638" s="2">
        <v>353484.84</v>
      </c>
      <c r="L638" s="2">
        <f t="shared" si="36"/>
        <v>10836.26999999996</v>
      </c>
      <c r="M638" s="4">
        <f t="shared" si="37"/>
        <v>3.0971853157631114E-2</v>
      </c>
      <c r="N638" s="2">
        <f t="shared" si="38"/>
        <v>-3061.9199999999837</v>
      </c>
      <c r="O638" s="6">
        <f t="shared" si="39"/>
        <v>0.99151143253059293</v>
      </c>
    </row>
    <row r="639" spans="1:15" x14ac:dyDescent="0.2">
      <c r="A639" t="s">
        <v>36</v>
      </c>
      <c r="B639" t="s">
        <v>37</v>
      </c>
      <c r="C639" t="s">
        <v>13</v>
      </c>
      <c r="D639" t="s">
        <v>38</v>
      </c>
      <c r="E639" t="s">
        <v>39</v>
      </c>
      <c r="F639" s="1">
        <v>45597</v>
      </c>
      <c r="G639" t="s">
        <v>17</v>
      </c>
      <c r="H639" s="2">
        <v>272885.05</v>
      </c>
      <c r="I639" s="2">
        <v>275278.78000000003</v>
      </c>
      <c r="J639" s="2">
        <v>267789.40999999997</v>
      </c>
      <c r="K639" s="2">
        <v>278650.14</v>
      </c>
      <c r="L639" s="2">
        <f t="shared" si="36"/>
        <v>2393.7300000000396</v>
      </c>
      <c r="M639" s="4">
        <f t="shared" si="37"/>
        <v>8.7719352892364003E-3</v>
      </c>
      <c r="N639" s="2">
        <f t="shared" si="38"/>
        <v>-7489.3700000000536</v>
      </c>
      <c r="O639" s="6">
        <f t="shared" si="39"/>
        <v>0.97279350773059936</v>
      </c>
    </row>
    <row r="640" spans="1:15" x14ac:dyDescent="0.2">
      <c r="A640" t="s">
        <v>36</v>
      </c>
      <c r="B640" t="s">
        <v>37</v>
      </c>
      <c r="C640" t="s">
        <v>13</v>
      </c>
      <c r="D640" t="s">
        <v>38</v>
      </c>
      <c r="E640" t="s">
        <v>39</v>
      </c>
      <c r="F640" s="1">
        <v>45597</v>
      </c>
      <c r="G640" t="s">
        <v>18</v>
      </c>
      <c r="H640" s="2">
        <v>213915.45</v>
      </c>
      <c r="I640" s="2">
        <v>211917.94</v>
      </c>
      <c r="J640" s="2">
        <v>215938.65</v>
      </c>
      <c r="K640" s="2">
        <v>211422.71</v>
      </c>
      <c r="L640" s="2">
        <f t="shared" si="36"/>
        <v>-1997.5100000000093</v>
      </c>
      <c r="M640" s="4">
        <f t="shared" si="37"/>
        <v>-9.3378482012402998E-3</v>
      </c>
      <c r="N640" s="2">
        <f t="shared" si="38"/>
        <v>4020.7099999999919</v>
      </c>
      <c r="O640" s="6">
        <f t="shared" si="39"/>
        <v>1.0189729571738948</v>
      </c>
    </row>
    <row r="641" spans="1:15" x14ac:dyDescent="0.2">
      <c r="A641" t="s">
        <v>36</v>
      </c>
      <c r="B641" t="s">
        <v>37</v>
      </c>
      <c r="C641" t="s">
        <v>13</v>
      </c>
      <c r="D641" t="s">
        <v>38</v>
      </c>
      <c r="E641" t="s">
        <v>39</v>
      </c>
      <c r="F641" s="1">
        <v>45597</v>
      </c>
      <c r="G641" t="s">
        <v>19</v>
      </c>
      <c r="H641" s="2">
        <v>158505.42000000001</v>
      </c>
      <c r="I641" s="2">
        <v>163566.01</v>
      </c>
      <c r="J641" s="2">
        <v>154301.57</v>
      </c>
      <c r="K641" s="2">
        <v>163624.37</v>
      </c>
      <c r="L641" s="2">
        <f t="shared" si="36"/>
        <v>5060.5899999999965</v>
      </c>
      <c r="M641" s="4">
        <f t="shared" si="37"/>
        <v>3.1926920858605316E-2</v>
      </c>
      <c r="N641" s="2">
        <f t="shared" si="38"/>
        <v>-9264.4400000000023</v>
      </c>
      <c r="O641" s="6">
        <f t="shared" si="39"/>
        <v>0.94335962587826161</v>
      </c>
    </row>
    <row r="642" spans="1:15" x14ac:dyDescent="0.2">
      <c r="A642" t="s">
        <v>36</v>
      </c>
      <c r="B642" t="s">
        <v>37</v>
      </c>
      <c r="C642" t="s">
        <v>13</v>
      </c>
      <c r="D642" t="s">
        <v>38</v>
      </c>
      <c r="E642" t="s">
        <v>39</v>
      </c>
      <c r="F642" s="1">
        <v>45597</v>
      </c>
      <c r="G642" t="s">
        <v>20</v>
      </c>
      <c r="H642" s="2">
        <v>38343.699999999997</v>
      </c>
      <c r="I642" s="2">
        <v>38246.730000000003</v>
      </c>
      <c r="J642" s="2">
        <v>38495.14</v>
      </c>
      <c r="K642" s="2">
        <v>38861.57</v>
      </c>
      <c r="L642" s="2">
        <f t="shared" ref="L642:L705" si="40">I642-H642</f>
        <v>-96.969999999993888</v>
      </c>
      <c r="M642" s="4">
        <f t="shared" ref="M642:M705" si="41">L642/H642</f>
        <v>-2.5289682529331778E-3</v>
      </c>
      <c r="N642" s="2">
        <f t="shared" ref="N642:N705" si="42">J642-I642</f>
        <v>248.40999999999622</v>
      </c>
      <c r="O642" s="6">
        <f t="shared" ref="O642:O705" si="43">J642/I642</f>
        <v>1.0064949343381773</v>
      </c>
    </row>
    <row r="643" spans="1:15" x14ac:dyDescent="0.2">
      <c r="A643" t="s">
        <v>36</v>
      </c>
      <c r="B643" t="s">
        <v>37</v>
      </c>
      <c r="C643" t="s">
        <v>13</v>
      </c>
      <c r="D643" t="s">
        <v>38</v>
      </c>
      <c r="E643" t="s">
        <v>39</v>
      </c>
      <c r="F643" s="1">
        <v>45597</v>
      </c>
      <c r="G643" t="s">
        <v>21</v>
      </c>
      <c r="H643" s="2">
        <v>57155.27</v>
      </c>
      <c r="I643" s="2">
        <v>55828.09</v>
      </c>
      <c r="J643" s="2">
        <v>57985.64</v>
      </c>
      <c r="K643" s="2">
        <v>57269.279999999999</v>
      </c>
      <c r="L643" s="2">
        <f t="shared" si="40"/>
        <v>-1327.1800000000003</v>
      </c>
      <c r="M643" s="4">
        <f t="shared" si="41"/>
        <v>-2.3220605903882537E-2</v>
      </c>
      <c r="N643" s="2">
        <f t="shared" si="42"/>
        <v>2157.5500000000029</v>
      </c>
      <c r="O643" s="6">
        <f t="shared" si="43"/>
        <v>1.038646315859991</v>
      </c>
    </row>
    <row r="644" spans="1:15" x14ac:dyDescent="0.2">
      <c r="A644" t="s">
        <v>36</v>
      </c>
      <c r="B644" t="s">
        <v>37</v>
      </c>
      <c r="C644" t="s">
        <v>13</v>
      </c>
      <c r="D644" t="s">
        <v>38</v>
      </c>
      <c r="E644" t="s">
        <v>39</v>
      </c>
      <c r="F644" s="1">
        <v>45627</v>
      </c>
      <c r="G644" t="s">
        <v>16</v>
      </c>
      <c r="H644" s="2">
        <v>345597.44</v>
      </c>
      <c r="I644" s="2">
        <v>351243.51</v>
      </c>
      <c r="J644" s="2">
        <v>339367.61</v>
      </c>
      <c r="K644" s="2">
        <v>348461.7</v>
      </c>
      <c r="L644" s="2">
        <f t="shared" si="40"/>
        <v>5646.070000000007</v>
      </c>
      <c r="M644" s="4">
        <f t="shared" si="41"/>
        <v>1.6337129117623115E-2</v>
      </c>
      <c r="N644" s="2">
        <f t="shared" si="42"/>
        <v>-11875.900000000023</v>
      </c>
      <c r="O644" s="6">
        <f t="shared" si="43"/>
        <v>0.96618898381923124</v>
      </c>
    </row>
    <row r="645" spans="1:15" x14ac:dyDescent="0.2">
      <c r="A645" t="s">
        <v>36</v>
      </c>
      <c r="B645" t="s">
        <v>37</v>
      </c>
      <c r="C645" t="s">
        <v>13</v>
      </c>
      <c r="D645" t="s">
        <v>38</v>
      </c>
      <c r="E645" t="s">
        <v>39</v>
      </c>
      <c r="F645" s="1">
        <v>45627</v>
      </c>
      <c r="G645" t="s">
        <v>17</v>
      </c>
      <c r="H645" s="2">
        <v>281590</v>
      </c>
      <c r="I645" s="2">
        <v>283462.55</v>
      </c>
      <c r="J645" s="2">
        <v>276215.65999999997</v>
      </c>
      <c r="K645" s="2">
        <v>280313.86</v>
      </c>
      <c r="L645" s="2">
        <f t="shared" si="40"/>
        <v>1872.5499999999884</v>
      </c>
      <c r="M645" s="4">
        <f t="shared" si="41"/>
        <v>6.6499165453318245E-3</v>
      </c>
      <c r="N645" s="2">
        <f t="shared" si="42"/>
        <v>-7246.890000000014</v>
      </c>
      <c r="O645" s="6">
        <f t="shared" si="43"/>
        <v>0.9744344005936586</v>
      </c>
    </row>
    <row r="646" spans="1:15" x14ac:dyDescent="0.2">
      <c r="A646" t="s">
        <v>36</v>
      </c>
      <c r="B646" t="s">
        <v>37</v>
      </c>
      <c r="C646" t="s">
        <v>13</v>
      </c>
      <c r="D646" t="s">
        <v>38</v>
      </c>
      <c r="E646" t="s">
        <v>39</v>
      </c>
      <c r="F646" s="1">
        <v>45627</v>
      </c>
      <c r="G646" t="s">
        <v>18</v>
      </c>
      <c r="H646" s="2">
        <v>219602.7</v>
      </c>
      <c r="I646" s="2">
        <v>218205.53</v>
      </c>
      <c r="J646" s="2">
        <v>222937.33</v>
      </c>
      <c r="K646" s="2">
        <v>219962.5</v>
      </c>
      <c r="L646" s="2">
        <f t="shared" si="40"/>
        <v>-1397.1700000000128</v>
      </c>
      <c r="M646" s="4">
        <f t="shared" si="41"/>
        <v>-6.3622623947702499E-3</v>
      </c>
      <c r="N646" s="2">
        <f t="shared" si="42"/>
        <v>4731.7999999999884</v>
      </c>
      <c r="O646" s="6">
        <f t="shared" si="43"/>
        <v>1.0216850599524219</v>
      </c>
    </row>
    <row r="647" spans="1:15" x14ac:dyDescent="0.2">
      <c r="A647" t="s">
        <v>36</v>
      </c>
      <c r="B647" t="s">
        <v>37</v>
      </c>
      <c r="C647" t="s">
        <v>13</v>
      </c>
      <c r="D647" t="s">
        <v>38</v>
      </c>
      <c r="E647" t="s">
        <v>39</v>
      </c>
      <c r="F647" s="1">
        <v>45627</v>
      </c>
      <c r="G647" t="s">
        <v>19</v>
      </c>
      <c r="H647" s="2">
        <v>154134.84</v>
      </c>
      <c r="I647" s="2">
        <v>155361.51</v>
      </c>
      <c r="J647" s="2">
        <v>158558.42000000001</v>
      </c>
      <c r="K647" s="2">
        <v>155219.21</v>
      </c>
      <c r="L647" s="2">
        <f t="shared" si="40"/>
        <v>1226.6700000000128</v>
      </c>
      <c r="M647" s="4">
        <f t="shared" si="41"/>
        <v>7.9584213406911301E-3</v>
      </c>
      <c r="N647" s="2">
        <f t="shared" si="42"/>
        <v>3196.9100000000035</v>
      </c>
      <c r="O647" s="6">
        <f t="shared" si="43"/>
        <v>1.020577233061136</v>
      </c>
    </row>
    <row r="648" spans="1:15" x14ac:dyDescent="0.2">
      <c r="A648" t="s">
        <v>36</v>
      </c>
      <c r="B648" t="s">
        <v>37</v>
      </c>
      <c r="C648" t="s">
        <v>13</v>
      </c>
      <c r="D648" t="s">
        <v>38</v>
      </c>
      <c r="E648" t="s">
        <v>39</v>
      </c>
      <c r="F648" s="1">
        <v>45627</v>
      </c>
      <c r="G648" t="s">
        <v>20</v>
      </c>
      <c r="H648" s="2">
        <v>38510.11</v>
      </c>
      <c r="I648" s="2">
        <v>39277.61</v>
      </c>
      <c r="J648" s="2">
        <v>38223.75</v>
      </c>
      <c r="K648" s="2">
        <v>39181.47</v>
      </c>
      <c r="L648" s="2">
        <f t="shared" si="40"/>
        <v>767.5</v>
      </c>
      <c r="M648" s="4">
        <f t="shared" si="41"/>
        <v>1.9929831413101649E-2</v>
      </c>
      <c r="N648" s="2">
        <f t="shared" si="42"/>
        <v>-1053.8600000000006</v>
      </c>
      <c r="O648" s="6">
        <f t="shared" si="43"/>
        <v>0.97316893772304369</v>
      </c>
    </row>
    <row r="649" spans="1:15" x14ac:dyDescent="0.2">
      <c r="A649" t="s">
        <v>36</v>
      </c>
      <c r="B649" t="s">
        <v>37</v>
      </c>
      <c r="C649" t="s">
        <v>13</v>
      </c>
      <c r="D649" t="s">
        <v>38</v>
      </c>
      <c r="E649" t="s">
        <v>39</v>
      </c>
      <c r="F649" s="1">
        <v>45627</v>
      </c>
      <c r="G649" t="s">
        <v>21</v>
      </c>
      <c r="H649" s="2">
        <v>59598.66</v>
      </c>
      <c r="I649" s="2">
        <v>57529.94</v>
      </c>
      <c r="J649" s="2">
        <v>60554.14</v>
      </c>
      <c r="K649" s="2">
        <v>58821.83</v>
      </c>
      <c r="L649" s="2">
        <f t="shared" si="40"/>
        <v>-2068.7200000000012</v>
      </c>
      <c r="M649" s="4">
        <f t="shared" si="41"/>
        <v>-3.4710847525766537E-2</v>
      </c>
      <c r="N649" s="2">
        <f t="shared" si="42"/>
        <v>3024.1999999999971</v>
      </c>
      <c r="O649" s="6">
        <f t="shared" si="43"/>
        <v>1.052567410986349</v>
      </c>
    </row>
    <row r="650" spans="1:15" x14ac:dyDescent="0.2">
      <c r="A650" t="s">
        <v>36</v>
      </c>
      <c r="B650" t="s">
        <v>37</v>
      </c>
      <c r="C650" t="s">
        <v>13</v>
      </c>
      <c r="D650" t="s">
        <v>38</v>
      </c>
      <c r="E650" t="s">
        <v>39</v>
      </c>
      <c r="F650" s="1">
        <v>45658</v>
      </c>
      <c r="G650" t="s">
        <v>16</v>
      </c>
      <c r="H650" s="2">
        <v>327941.90000000002</v>
      </c>
      <c r="I650" s="2">
        <v>322880.74</v>
      </c>
      <c r="J650" s="2">
        <v>334201.23</v>
      </c>
      <c r="K650" s="2">
        <v>326583.3</v>
      </c>
      <c r="L650" s="2">
        <f t="shared" si="40"/>
        <v>-5061.1600000000326</v>
      </c>
      <c r="M650" s="4">
        <f t="shared" si="41"/>
        <v>-1.5433099582578597E-2</v>
      </c>
      <c r="N650" s="2">
        <f t="shared" si="42"/>
        <v>11320.489999999991</v>
      </c>
      <c r="O650" s="6">
        <f t="shared" si="43"/>
        <v>1.0350609020531853</v>
      </c>
    </row>
    <row r="651" spans="1:15" x14ac:dyDescent="0.2">
      <c r="A651" t="s">
        <v>36</v>
      </c>
      <c r="B651" t="s">
        <v>37</v>
      </c>
      <c r="C651" t="s">
        <v>13</v>
      </c>
      <c r="D651" t="s">
        <v>38</v>
      </c>
      <c r="E651" t="s">
        <v>39</v>
      </c>
      <c r="F651" s="1">
        <v>45658</v>
      </c>
      <c r="G651" t="s">
        <v>17</v>
      </c>
      <c r="H651" s="2">
        <v>252041.01</v>
      </c>
      <c r="I651" s="2">
        <v>246780.24</v>
      </c>
      <c r="J651" s="2">
        <v>248300.3</v>
      </c>
      <c r="K651" s="2">
        <v>249454.34</v>
      </c>
      <c r="L651" s="2">
        <f t="shared" si="40"/>
        <v>-5260.7700000000186</v>
      </c>
      <c r="M651" s="4">
        <f t="shared" si="41"/>
        <v>-2.0872674649256556E-2</v>
      </c>
      <c r="N651" s="2">
        <f t="shared" si="42"/>
        <v>1520.0599999999977</v>
      </c>
      <c r="O651" s="6">
        <f t="shared" si="43"/>
        <v>1.0061595693399115</v>
      </c>
    </row>
    <row r="652" spans="1:15" x14ac:dyDescent="0.2">
      <c r="A652" t="s">
        <v>36</v>
      </c>
      <c r="B652" t="s">
        <v>37</v>
      </c>
      <c r="C652" t="s">
        <v>13</v>
      </c>
      <c r="D652" t="s">
        <v>38</v>
      </c>
      <c r="E652" t="s">
        <v>39</v>
      </c>
      <c r="F652" s="1">
        <v>45658</v>
      </c>
      <c r="G652" t="s">
        <v>18</v>
      </c>
      <c r="H652" s="2">
        <v>203395.87</v>
      </c>
      <c r="I652" s="2">
        <v>201950.67</v>
      </c>
      <c r="J652" s="2">
        <v>198701.94</v>
      </c>
      <c r="K652" s="2">
        <v>200902.35</v>
      </c>
      <c r="L652" s="2">
        <f t="shared" si="40"/>
        <v>-1445.1999999999825</v>
      </c>
      <c r="M652" s="4">
        <f t="shared" si="41"/>
        <v>-7.1053556790508215E-3</v>
      </c>
      <c r="N652" s="2">
        <f t="shared" si="42"/>
        <v>-3248.7300000000105</v>
      </c>
      <c r="O652" s="6">
        <f t="shared" si="43"/>
        <v>0.98391324970598015</v>
      </c>
    </row>
    <row r="653" spans="1:15" x14ac:dyDescent="0.2">
      <c r="A653" t="s">
        <v>36</v>
      </c>
      <c r="B653" t="s">
        <v>37</v>
      </c>
      <c r="C653" t="s">
        <v>13</v>
      </c>
      <c r="D653" t="s">
        <v>38</v>
      </c>
      <c r="E653" t="s">
        <v>39</v>
      </c>
      <c r="F653" s="1">
        <v>45658</v>
      </c>
      <c r="G653" t="s">
        <v>19</v>
      </c>
      <c r="H653" s="2">
        <v>148652.44</v>
      </c>
      <c r="I653" s="2">
        <v>148970.71</v>
      </c>
      <c r="J653" s="2">
        <v>150268.04999999999</v>
      </c>
      <c r="K653" s="2">
        <v>147442.84</v>
      </c>
      <c r="L653" s="2">
        <f t="shared" si="40"/>
        <v>318.26999999998952</v>
      </c>
      <c r="M653" s="4">
        <f t="shared" si="41"/>
        <v>2.1410344828513379E-3</v>
      </c>
      <c r="N653" s="2">
        <f t="shared" si="42"/>
        <v>1297.3399999999965</v>
      </c>
      <c r="O653" s="6">
        <f t="shared" si="43"/>
        <v>1.008708691795857</v>
      </c>
    </row>
    <row r="654" spans="1:15" x14ac:dyDescent="0.2">
      <c r="A654" t="s">
        <v>36</v>
      </c>
      <c r="B654" t="s">
        <v>37</v>
      </c>
      <c r="C654" t="s">
        <v>13</v>
      </c>
      <c r="D654" t="s">
        <v>38</v>
      </c>
      <c r="E654" t="s">
        <v>39</v>
      </c>
      <c r="F654" s="1">
        <v>45658</v>
      </c>
      <c r="G654" t="s">
        <v>20</v>
      </c>
      <c r="H654" s="2">
        <v>36690.99</v>
      </c>
      <c r="I654" s="2">
        <v>35624.080000000002</v>
      </c>
      <c r="J654" s="2">
        <v>35613.93</v>
      </c>
      <c r="K654" s="2">
        <v>36453.519999999997</v>
      </c>
      <c r="L654" s="2">
        <f t="shared" si="40"/>
        <v>-1066.9099999999962</v>
      </c>
      <c r="M654" s="4">
        <f t="shared" si="41"/>
        <v>-2.907825599690813E-2</v>
      </c>
      <c r="N654" s="2">
        <f t="shared" si="42"/>
        <v>-10.150000000001455</v>
      </c>
      <c r="O654" s="6">
        <f t="shared" si="43"/>
        <v>0.99971508036137346</v>
      </c>
    </row>
    <row r="655" spans="1:15" x14ac:dyDescent="0.2">
      <c r="A655" t="s">
        <v>36</v>
      </c>
      <c r="B655" t="s">
        <v>37</v>
      </c>
      <c r="C655" t="s">
        <v>13</v>
      </c>
      <c r="D655" t="s">
        <v>38</v>
      </c>
      <c r="E655" t="s">
        <v>39</v>
      </c>
      <c r="F655" s="1">
        <v>45658</v>
      </c>
      <c r="G655" t="s">
        <v>21</v>
      </c>
      <c r="H655" s="2">
        <v>55576.43</v>
      </c>
      <c r="I655" s="2">
        <v>55400.65</v>
      </c>
      <c r="J655" s="2">
        <v>56048.53</v>
      </c>
      <c r="K655" s="2">
        <v>55073.85</v>
      </c>
      <c r="L655" s="2">
        <f t="shared" si="40"/>
        <v>-175.77999999999884</v>
      </c>
      <c r="M655" s="4">
        <f t="shared" si="41"/>
        <v>-3.1628515901434987E-3</v>
      </c>
      <c r="N655" s="2">
        <f t="shared" si="42"/>
        <v>647.87999999999738</v>
      </c>
      <c r="O655" s="6">
        <f t="shared" si="43"/>
        <v>1.0116944476283221</v>
      </c>
    </row>
    <row r="656" spans="1:15" x14ac:dyDescent="0.2">
      <c r="A656" t="s">
        <v>36</v>
      </c>
      <c r="B656" t="s">
        <v>37</v>
      </c>
      <c r="C656" t="s">
        <v>13</v>
      </c>
      <c r="D656" t="s">
        <v>38</v>
      </c>
      <c r="E656" t="s">
        <v>39</v>
      </c>
      <c r="F656" s="1">
        <v>45689</v>
      </c>
      <c r="G656" t="s">
        <v>16</v>
      </c>
      <c r="H656" s="2">
        <v>335097.93</v>
      </c>
      <c r="I656" s="2">
        <v>329297.38</v>
      </c>
      <c r="J656" s="2">
        <v>334766.34000000003</v>
      </c>
      <c r="K656" s="2">
        <v>328434.58</v>
      </c>
      <c r="L656" s="2">
        <f t="shared" si="40"/>
        <v>-5800.5499999999884</v>
      </c>
      <c r="M656" s="4">
        <f t="shared" si="41"/>
        <v>-1.7310014418770024E-2</v>
      </c>
      <c r="N656" s="2">
        <f t="shared" si="42"/>
        <v>5468.960000000021</v>
      </c>
      <c r="O656" s="6">
        <f t="shared" si="43"/>
        <v>1.016607966938577</v>
      </c>
    </row>
    <row r="657" spans="1:15" x14ac:dyDescent="0.2">
      <c r="A657" t="s">
        <v>36</v>
      </c>
      <c r="B657" t="s">
        <v>37</v>
      </c>
      <c r="C657" t="s">
        <v>13</v>
      </c>
      <c r="D657" t="s">
        <v>38</v>
      </c>
      <c r="E657" t="s">
        <v>39</v>
      </c>
      <c r="F657" s="1">
        <v>45689</v>
      </c>
      <c r="G657" t="s">
        <v>17</v>
      </c>
      <c r="H657" s="2">
        <v>259531.84</v>
      </c>
      <c r="I657" s="2">
        <v>261487.18</v>
      </c>
      <c r="J657" s="2">
        <v>251947.12</v>
      </c>
      <c r="K657" s="2">
        <v>260498.68</v>
      </c>
      <c r="L657" s="2">
        <f t="shared" si="40"/>
        <v>1955.3399999999965</v>
      </c>
      <c r="M657" s="4">
        <f t="shared" si="41"/>
        <v>7.5341044859852128E-3</v>
      </c>
      <c r="N657" s="2">
        <f t="shared" si="42"/>
        <v>-9540.0599999999977</v>
      </c>
      <c r="O657" s="6">
        <f t="shared" si="43"/>
        <v>0.9635161463747477</v>
      </c>
    </row>
    <row r="658" spans="1:15" x14ac:dyDescent="0.2">
      <c r="A658" t="s">
        <v>36</v>
      </c>
      <c r="B658" t="s">
        <v>37</v>
      </c>
      <c r="C658" t="s">
        <v>13</v>
      </c>
      <c r="D658" t="s">
        <v>38</v>
      </c>
      <c r="E658" t="s">
        <v>39</v>
      </c>
      <c r="F658" s="1">
        <v>45689</v>
      </c>
      <c r="G658" t="s">
        <v>18</v>
      </c>
      <c r="H658" s="2">
        <v>213083.34</v>
      </c>
      <c r="I658" s="2">
        <v>206401.89</v>
      </c>
      <c r="J658" s="2">
        <v>206897.59</v>
      </c>
      <c r="K658" s="2">
        <v>206785.23</v>
      </c>
      <c r="L658" s="2">
        <f t="shared" si="40"/>
        <v>-6681.4499999999825</v>
      </c>
      <c r="M658" s="4">
        <f t="shared" si="41"/>
        <v>-3.1356041255970468E-2</v>
      </c>
      <c r="N658" s="2">
        <f t="shared" si="42"/>
        <v>495.69999999998254</v>
      </c>
      <c r="O658" s="6">
        <f t="shared" si="43"/>
        <v>1.0024016252951946</v>
      </c>
    </row>
    <row r="659" spans="1:15" x14ac:dyDescent="0.2">
      <c r="A659" t="s">
        <v>36</v>
      </c>
      <c r="B659" t="s">
        <v>37</v>
      </c>
      <c r="C659" t="s">
        <v>13</v>
      </c>
      <c r="D659" t="s">
        <v>38</v>
      </c>
      <c r="E659" t="s">
        <v>39</v>
      </c>
      <c r="F659" s="1">
        <v>45689</v>
      </c>
      <c r="G659" t="s">
        <v>19</v>
      </c>
      <c r="H659" s="2">
        <v>156425.28</v>
      </c>
      <c r="I659" s="2">
        <v>157747.94</v>
      </c>
      <c r="J659" s="2">
        <v>160824.07</v>
      </c>
      <c r="K659" s="2">
        <v>155652.03</v>
      </c>
      <c r="L659" s="2">
        <f t="shared" si="40"/>
        <v>1322.6600000000035</v>
      </c>
      <c r="M659" s="4">
        <f t="shared" si="41"/>
        <v>8.4555386443930514E-3</v>
      </c>
      <c r="N659" s="2">
        <f t="shared" si="42"/>
        <v>3076.1300000000047</v>
      </c>
      <c r="O659" s="6">
        <f t="shared" si="43"/>
        <v>1.0195002863428835</v>
      </c>
    </row>
    <row r="660" spans="1:15" x14ac:dyDescent="0.2">
      <c r="A660" t="s">
        <v>36</v>
      </c>
      <c r="B660" t="s">
        <v>37</v>
      </c>
      <c r="C660" t="s">
        <v>13</v>
      </c>
      <c r="D660" t="s">
        <v>38</v>
      </c>
      <c r="E660" t="s">
        <v>39</v>
      </c>
      <c r="F660" s="1">
        <v>45689</v>
      </c>
      <c r="G660" t="s">
        <v>20</v>
      </c>
      <c r="H660" s="2">
        <v>37413.800000000003</v>
      </c>
      <c r="I660" s="2">
        <v>37887.410000000003</v>
      </c>
      <c r="J660" s="2">
        <v>38303.75</v>
      </c>
      <c r="K660" s="2">
        <v>37704.379999999997</v>
      </c>
      <c r="L660" s="2">
        <f t="shared" si="40"/>
        <v>473.61000000000058</v>
      </c>
      <c r="M660" s="4">
        <f t="shared" si="41"/>
        <v>1.2658698127428931E-2</v>
      </c>
      <c r="N660" s="2">
        <f t="shared" si="42"/>
        <v>416.33999999999651</v>
      </c>
      <c r="O660" s="6">
        <f t="shared" si="43"/>
        <v>1.0109888746683924</v>
      </c>
    </row>
    <row r="661" spans="1:15" x14ac:dyDescent="0.2">
      <c r="A661" t="s">
        <v>36</v>
      </c>
      <c r="B661" t="s">
        <v>37</v>
      </c>
      <c r="C661" t="s">
        <v>13</v>
      </c>
      <c r="D661" t="s">
        <v>38</v>
      </c>
      <c r="E661" t="s">
        <v>39</v>
      </c>
      <c r="F661" s="1">
        <v>45689</v>
      </c>
      <c r="G661" t="s">
        <v>21</v>
      </c>
      <c r="H661" s="2">
        <v>54275.26</v>
      </c>
      <c r="I661" s="2">
        <v>54636.39</v>
      </c>
      <c r="J661" s="2">
        <v>55768.26</v>
      </c>
      <c r="K661" s="2">
        <v>54043.94</v>
      </c>
      <c r="L661" s="2">
        <f t="shared" si="40"/>
        <v>361.12999999999738</v>
      </c>
      <c r="M661" s="4">
        <f t="shared" si="41"/>
        <v>6.6536760947805201E-3</v>
      </c>
      <c r="N661" s="2">
        <f t="shared" si="42"/>
        <v>1131.8700000000026</v>
      </c>
      <c r="O661" s="6">
        <f t="shared" si="43"/>
        <v>1.0207164126326795</v>
      </c>
    </row>
    <row r="662" spans="1:15" x14ac:dyDescent="0.2">
      <c r="A662" t="s">
        <v>36</v>
      </c>
      <c r="B662" t="s">
        <v>37</v>
      </c>
      <c r="C662" t="s">
        <v>13</v>
      </c>
      <c r="D662" t="s">
        <v>38</v>
      </c>
      <c r="E662" t="s">
        <v>39</v>
      </c>
      <c r="F662" s="1">
        <v>45717</v>
      </c>
      <c r="G662" t="s">
        <v>16</v>
      </c>
      <c r="H662" s="2">
        <v>345639.82</v>
      </c>
      <c r="I662" s="2">
        <v>347876.82</v>
      </c>
      <c r="J662" s="2">
        <v>354146.8</v>
      </c>
      <c r="K662" s="2">
        <v>352250.29</v>
      </c>
      <c r="L662" s="2">
        <f t="shared" si="40"/>
        <v>2237</v>
      </c>
      <c r="M662" s="4">
        <f t="shared" si="41"/>
        <v>6.4720552163231651E-3</v>
      </c>
      <c r="N662" s="2">
        <f t="shared" si="42"/>
        <v>6269.9799999999814</v>
      </c>
      <c r="O662" s="6">
        <f t="shared" si="43"/>
        <v>1.0180235636280681</v>
      </c>
    </row>
    <row r="663" spans="1:15" x14ac:dyDescent="0.2">
      <c r="A663" t="s">
        <v>36</v>
      </c>
      <c r="B663" t="s">
        <v>37</v>
      </c>
      <c r="C663" t="s">
        <v>13</v>
      </c>
      <c r="D663" t="s">
        <v>38</v>
      </c>
      <c r="E663" t="s">
        <v>39</v>
      </c>
      <c r="F663" s="1">
        <v>45717</v>
      </c>
      <c r="G663" t="s">
        <v>17</v>
      </c>
      <c r="H663" s="2">
        <v>260502.17</v>
      </c>
      <c r="I663" s="2">
        <v>257150.3</v>
      </c>
      <c r="J663" s="2">
        <v>254177.62</v>
      </c>
      <c r="K663" s="2">
        <v>261534.44</v>
      </c>
      <c r="L663" s="2">
        <f t="shared" si="40"/>
        <v>-3351.8700000000244</v>
      </c>
      <c r="M663" s="4">
        <f t="shared" si="41"/>
        <v>-1.2866956156257832E-2</v>
      </c>
      <c r="N663" s="2">
        <f t="shared" si="42"/>
        <v>-2972.679999999993</v>
      </c>
      <c r="O663" s="6">
        <f t="shared" si="43"/>
        <v>0.9884399123780917</v>
      </c>
    </row>
    <row r="664" spans="1:15" x14ac:dyDescent="0.2">
      <c r="A664" t="s">
        <v>36</v>
      </c>
      <c r="B664" t="s">
        <v>37</v>
      </c>
      <c r="C664" t="s">
        <v>13</v>
      </c>
      <c r="D664" t="s">
        <v>38</v>
      </c>
      <c r="E664" t="s">
        <v>39</v>
      </c>
      <c r="F664" s="1">
        <v>45717</v>
      </c>
      <c r="G664" t="s">
        <v>18</v>
      </c>
      <c r="H664" s="2">
        <v>217462.6</v>
      </c>
      <c r="I664" s="2">
        <v>215219.73</v>
      </c>
      <c r="J664" s="2">
        <v>217062.61</v>
      </c>
      <c r="K664" s="2">
        <v>218245.43</v>
      </c>
      <c r="L664" s="2">
        <f t="shared" si="40"/>
        <v>-2242.8699999999953</v>
      </c>
      <c r="M664" s="4">
        <f t="shared" si="41"/>
        <v>-1.0313819479763396E-2</v>
      </c>
      <c r="N664" s="2">
        <f t="shared" si="42"/>
        <v>1842.8799999999756</v>
      </c>
      <c r="O664" s="6">
        <f t="shared" si="43"/>
        <v>1.0085627837187603</v>
      </c>
    </row>
    <row r="665" spans="1:15" x14ac:dyDescent="0.2">
      <c r="A665" t="s">
        <v>36</v>
      </c>
      <c r="B665" t="s">
        <v>37</v>
      </c>
      <c r="C665" t="s">
        <v>13</v>
      </c>
      <c r="D665" t="s">
        <v>38</v>
      </c>
      <c r="E665" t="s">
        <v>39</v>
      </c>
      <c r="F665" s="1">
        <v>45717</v>
      </c>
      <c r="G665" t="s">
        <v>19</v>
      </c>
      <c r="H665" s="2">
        <v>152293.62</v>
      </c>
      <c r="I665" s="2">
        <v>152873.42000000001</v>
      </c>
      <c r="J665" s="2">
        <v>149043.24</v>
      </c>
      <c r="K665" s="2">
        <v>151792.76999999999</v>
      </c>
      <c r="L665" s="2">
        <f t="shared" si="40"/>
        <v>579.80000000001746</v>
      </c>
      <c r="M665" s="4">
        <f t="shared" si="41"/>
        <v>3.8071194315298139E-3</v>
      </c>
      <c r="N665" s="2">
        <f t="shared" si="42"/>
        <v>-3830.1800000000221</v>
      </c>
      <c r="O665" s="6">
        <f t="shared" si="43"/>
        <v>0.9749454156255547</v>
      </c>
    </row>
    <row r="666" spans="1:15" x14ac:dyDescent="0.2">
      <c r="A666" t="s">
        <v>36</v>
      </c>
      <c r="B666" t="s">
        <v>37</v>
      </c>
      <c r="C666" t="s">
        <v>13</v>
      </c>
      <c r="D666" t="s">
        <v>38</v>
      </c>
      <c r="E666" t="s">
        <v>39</v>
      </c>
      <c r="F666" s="1">
        <v>45717</v>
      </c>
      <c r="G666" t="s">
        <v>20</v>
      </c>
      <c r="H666" s="2">
        <v>35121.71</v>
      </c>
      <c r="I666" s="2">
        <v>34092.080000000002</v>
      </c>
      <c r="J666" s="2">
        <v>35311.449999999997</v>
      </c>
      <c r="K666" s="2">
        <v>34789.769999999997</v>
      </c>
      <c r="L666" s="2">
        <f t="shared" si="40"/>
        <v>-1029.6299999999974</v>
      </c>
      <c r="M666" s="4">
        <f t="shared" si="41"/>
        <v>-2.9316055510964511E-2</v>
      </c>
      <c r="N666" s="2">
        <f t="shared" si="42"/>
        <v>1219.3699999999953</v>
      </c>
      <c r="O666" s="6">
        <f t="shared" si="43"/>
        <v>1.0357669581908759</v>
      </c>
    </row>
    <row r="667" spans="1:15" x14ac:dyDescent="0.2">
      <c r="A667" t="s">
        <v>36</v>
      </c>
      <c r="B667" t="s">
        <v>37</v>
      </c>
      <c r="C667" t="s">
        <v>13</v>
      </c>
      <c r="D667" t="s">
        <v>38</v>
      </c>
      <c r="E667" t="s">
        <v>39</v>
      </c>
      <c r="F667" s="1">
        <v>45717</v>
      </c>
      <c r="G667" t="s">
        <v>21</v>
      </c>
      <c r="H667" s="2">
        <v>55362.47</v>
      </c>
      <c r="I667" s="2">
        <v>53950.51</v>
      </c>
      <c r="J667" s="2">
        <v>56085</v>
      </c>
      <c r="K667" s="2">
        <v>54700.66</v>
      </c>
      <c r="L667" s="2">
        <f t="shared" si="40"/>
        <v>-1411.9599999999991</v>
      </c>
      <c r="M667" s="4">
        <f t="shared" si="41"/>
        <v>-2.55039198937475E-2</v>
      </c>
      <c r="N667" s="2">
        <f t="shared" si="42"/>
        <v>2134.489999999998</v>
      </c>
      <c r="O667" s="6">
        <f t="shared" si="43"/>
        <v>1.0395638521304063</v>
      </c>
    </row>
    <row r="668" spans="1:15" x14ac:dyDescent="0.2">
      <c r="A668" t="s">
        <v>36</v>
      </c>
      <c r="B668" t="s">
        <v>37</v>
      </c>
      <c r="C668" t="s">
        <v>13</v>
      </c>
      <c r="D668" t="s">
        <v>38</v>
      </c>
      <c r="E668" t="s">
        <v>39</v>
      </c>
      <c r="F668" s="1">
        <v>45748</v>
      </c>
      <c r="G668" t="s">
        <v>16</v>
      </c>
      <c r="H668" s="2">
        <v>332508.21000000002</v>
      </c>
      <c r="I668" s="2">
        <v>315409.28999999998</v>
      </c>
      <c r="J668" s="2">
        <v>342156.41</v>
      </c>
      <c r="K668" s="2">
        <v>319847.26</v>
      </c>
      <c r="L668" s="2">
        <f t="shared" si="40"/>
        <v>-17098.920000000042</v>
      </c>
      <c r="M668" s="4">
        <f t="shared" si="41"/>
        <v>-5.1424053559459601E-2</v>
      </c>
      <c r="N668" s="2">
        <f t="shared" si="42"/>
        <v>26747.119999999995</v>
      </c>
      <c r="O668" s="6">
        <f t="shared" si="43"/>
        <v>1.0848013068987283</v>
      </c>
    </row>
    <row r="669" spans="1:15" x14ac:dyDescent="0.2">
      <c r="A669" t="s">
        <v>36</v>
      </c>
      <c r="B669" t="s">
        <v>37</v>
      </c>
      <c r="C669" t="s">
        <v>13</v>
      </c>
      <c r="D669" t="s">
        <v>38</v>
      </c>
      <c r="E669" t="s">
        <v>39</v>
      </c>
      <c r="F669" s="1">
        <v>45748</v>
      </c>
      <c r="G669" t="s">
        <v>17</v>
      </c>
      <c r="H669" s="2">
        <v>260516.58</v>
      </c>
      <c r="I669" s="2">
        <v>253957.6</v>
      </c>
      <c r="J669" s="2">
        <v>268157.95</v>
      </c>
      <c r="K669" s="2">
        <v>255930.14</v>
      </c>
      <c r="L669" s="2">
        <f t="shared" si="40"/>
        <v>-6558.9799999999814</v>
      </c>
      <c r="M669" s="4">
        <f t="shared" si="41"/>
        <v>-2.5176823678554287E-2</v>
      </c>
      <c r="N669" s="2">
        <f t="shared" si="42"/>
        <v>14200.350000000006</v>
      </c>
      <c r="O669" s="6">
        <f t="shared" si="43"/>
        <v>1.0559162238105888</v>
      </c>
    </row>
    <row r="670" spans="1:15" x14ac:dyDescent="0.2">
      <c r="A670" t="s">
        <v>36</v>
      </c>
      <c r="B670" t="s">
        <v>37</v>
      </c>
      <c r="C670" t="s">
        <v>13</v>
      </c>
      <c r="D670" t="s">
        <v>38</v>
      </c>
      <c r="E670" t="s">
        <v>39</v>
      </c>
      <c r="F670" s="1">
        <v>45748</v>
      </c>
      <c r="G670" t="s">
        <v>18</v>
      </c>
      <c r="H670" s="2">
        <v>215530.34</v>
      </c>
      <c r="I670" s="2">
        <v>207434.18</v>
      </c>
      <c r="J670" s="2">
        <v>222266.37</v>
      </c>
      <c r="K670" s="2">
        <v>211171.81</v>
      </c>
      <c r="L670" s="2">
        <f t="shared" si="40"/>
        <v>-8096.1600000000035</v>
      </c>
      <c r="M670" s="4">
        <f t="shared" si="41"/>
        <v>-3.7563899356350496E-2</v>
      </c>
      <c r="N670" s="2">
        <f t="shared" si="42"/>
        <v>14832.190000000002</v>
      </c>
      <c r="O670" s="6">
        <f t="shared" si="43"/>
        <v>1.0715031148675691</v>
      </c>
    </row>
    <row r="671" spans="1:15" x14ac:dyDescent="0.2">
      <c r="A671" t="s">
        <v>36</v>
      </c>
      <c r="B671" t="s">
        <v>37</v>
      </c>
      <c r="C671" t="s">
        <v>13</v>
      </c>
      <c r="D671" t="s">
        <v>38</v>
      </c>
      <c r="E671" t="s">
        <v>39</v>
      </c>
      <c r="F671" s="1">
        <v>45748</v>
      </c>
      <c r="G671" t="s">
        <v>19</v>
      </c>
      <c r="H671" s="2">
        <v>151132.81</v>
      </c>
      <c r="I671" s="2">
        <v>140324.01</v>
      </c>
      <c r="J671" s="2">
        <v>155310.45000000001</v>
      </c>
      <c r="K671" s="2">
        <v>145630.54</v>
      </c>
      <c r="L671" s="2">
        <f t="shared" si="40"/>
        <v>-10808.799999999988</v>
      </c>
      <c r="M671" s="4">
        <f t="shared" si="41"/>
        <v>-7.1518553780611824E-2</v>
      </c>
      <c r="N671" s="2">
        <f t="shared" si="42"/>
        <v>14986.440000000002</v>
      </c>
      <c r="O671" s="6">
        <f t="shared" si="43"/>
        <v>1.1067988293664071</v>
      </c>
    </row>
    <row r="672" spans="1:15" x14ac:dyDescent="0.2">
      <c r="A672" t="s">
        <v>36</v>
      </c>
      <c r="B672" t="s">
        <v>37</v>
      </c>
      <c r="C672" t="s">
        <v>13</v>
      </c>
      <c r="D672" t="s">
        <v>38</v>
      </c>
      <c r="E672" t="s">
        <v>39</v>
      </c>
      <c r="F672" s="1">
        <v>45748</v>
      </c>
      <c r="G672" t="s">
        <v>20</v>
      </c>
      <c r="H672" s="2">
        <v>35461.599999999999</v>
      </c>
      <c r="I672" s="2">
        <v>33771.32</v>
      </c>
      <c r="J672" s="2">
        <v>35282.379999999997</v>
      </c>
      <c r="K672" s="2">
        <v>34748</v>
      </c>
      <c r="L672" s="2">
        <f t="shared" si="40"/>
        <v>-1690.2799999999988</v>
      </c>
      <c r="M672" s="4">
        <f t="shared" si="41"/>
        <v>-4.7665079973830814E-2</v>
      </c>
      <c r="N672" s="2">
        <f t="shared" si="42"/>
        <v>1511.0599999999977</v>
      </c>
      <c r="O672" s="6">
        <f t="shared" si="43"/>
        <v>1.0447438832713676</v>
      </c>
    </row>
    <row r="673" spans="1:15" x14ac:dyDescent="0.2">
      <c r="A673" t="s">
        <v>36</v>
      </c>
      <c r="B673" t="s">
        <v>37</v>
      </c>
      <c r="C673" t="s">
        <v>13</v>
      </c>
      <c r="D673" t="s">
        <v>38</v>
      </c>
      <c r="E673" t="s">
        <v>39</v>
      </c>
      <c r="F673" s="1">
        <v>45748</v>
      </c>
      <c r="G673" t="s">
        <v>21</v>
      </c>
      <c r="H673" s="2">
        <v>55358.76</v>
      </c>
      <c r="I673" s="2">
        <v>55572.77</v>
      </c>
      <c r="J673" s="2">
        <v>55849.88</v>
      </c>
      <c r="K673" s="2">
        <v>55470.12</v>
      </c>
      <c r="L673" s="2">
        <f t="shared" si="40"/>
        <v>214.00999999999476</v>
      </c>
      <c r="M673" s="4">
        <f t="shared" si="41"/>
        <v>3.8658741633662811E-3</v>
      </c>
      <c r="N673" s="2">
        <f t="shared" si="42"/>
        <v>277.11000000000058</v>
      </c>
      <c r="O673" s="6">
        <f t="shared" si="43"/>
        <v>1.0049864349032809</v>
      </c>
    </row>
    <row r="674" spans="1:15" x14ac:dyDescent="0.2">
      <c r="A674" t="s">
        <v>36</v>
      </c>
      <c r="B674" t="s">
        <v>37</v>
      </c>
      <c r="C674" t="s">
        <v>13</v>
      </c>
      <c r="D674" t="s">
        <v>38</v>
      </c>
      <c r="E674" t="s">
        <v>39</v>
      </c>
      <c r="F674" s="1">
        <v>45778</v>
      </c>
      <c r="G674" t="s">
        <v>16</v>
      </c>
      <c r="H674" s="2">
        <v>339249.43</v>
      </c>
      <c r="I674" s="2">
        <v>336765.25</v>
      </c>
      <c r="J674" s="2">
        <v>335985.3</v>
      </c>
      <c r="K674" s="2">
        <v>334294.61</v>
      </c>
      <c r="L674" s="2">
        <f t="shared" si="40"/>
        <v>-2484.179999999993</v>
      </c>
      <c r="M674" s="4">
        <f t="shared" si="41"/>
        <v>-7.3225767836956812E-3</v>
      </c>
      <c r="N674" s="2">
        <f t="shared" si="42"/>
        <v>-779.95000000001164</v>
      </c>
      <c r="O674" s="6">
        <f t="shared" si="43"/>
        <v>0.99768399500839233</v>
      </c>
    </row>
    <row r="675" spans="1:15" x14ac:dyDescent="0.2">
      <c r="A675" t="s">
        <v>36</v>
      </c>
      <c r="B675" t="s">
        <v>37</v>
      </c>
      <c r="C675" t="s">
        <v>13</v>
      </c>
      <c r="D675" t="s">
        <v>38</v>
      </c>
      <c r="E675" t="s">
        <v>39</v>
      </c>
      <c r="F675" s="1">
        <v>45778</v>
      </c>
      <c r="G675" t="s">
        <v>17</v>
      </c>
      <c r="H675" s="2">
        <v>276744.42</v>
      </c>
      <c r="I675" s="2">
        <v>269376.59000000003</v>
      </c>
      <c r="J675" s="2">
        <v>282956.24</v>
      </c>
      <c r="K675" s="2">
        <v>275673.57</v>
      </c>
      <c r="L675" s="2">
        <f t="shared" si="40"/>
        <v>-7367.8299999999581</v>
      </c>
      <c r="M675" s="4">
        <f t="shared" si="41"/>
        <v>-2.6623228753808147E-2</v>
      </c>
      <c r="N675" s="2">
        <f t="shared" si="42"/>
        <v>13579.649999999965</v>
      </c>
      <c r="O675" s="6">
        <f t="shared" si="43"/>
        <v>1.0504113961796011</v>
      </c>
    </row>
    <row r="676" spans="1:15" x14ac:dyDescent="0.2">
      <c r="A676" t="s">
        <v>36</v>
      </c>
      <c r="B676" t="s">
        <v>37</v>
      </c>
      <c r="C676" t="s">
        <v>13</v>
      </c>
      <c r="D676" t="s">
        <v>38</v>
      </c>
      <c r="E676" t="s">
        <v>39</v>
      </c>
      <c r="F676" s="1">
        <v>45778</v>
      </c>
      <c r="G676" t="s">
        <v>18</v>
      </c>
      <c r="H676" s="2">
        <v>218356.16</v>
      </c>
      <c r="I676" s="2">
        <v>210028.36</v>
      </c>
      <c r="J676" s="2">
        <v>220612.75</v>
      </c>
      <c r="K676" s="2">
        <v>211553.35</v>
      </c>
      <c r="L676" s="2">
        <f t="shared" si="40"/>
        <v>-8327.8000000000175</v>
      </c>
      <c r="M676" s="4">
        <f t="shared" si="41"/>
        <v>-3.8138608042933238E-2</v>
      </c>
      <c r="N676" s="2">
        <f t="shared" si="42"/>
        <v>10584.390000000014</v>
      </c>
      <c r="O676" s="6">
        <f t="shared" si="43"/>
        <v>1.0503950514111524</v>
      </c>
    </row>
    <row r="677" spans="1:15" x14ac:dyDescent="0.2">
      <c r="A677" t="s">
        <v>36</v>
      </c>
      <c r="B677" t="s">
        <v>37</v>
      </c>
      <c r="C677" t="s">
        <v>13</v>
      </c>
      <c r="D677" t="s">
        <v>38</v>
      </c>
      <c r="E677" t="s">
        <v>39</v>
      </c>
      <c r="F677" s="1">
        <v>45778</v>
      </c>
      <c r="G677" t="s">
        <v>19</v>
      </c>
      <c r="H677" s="2">
        <v>157636.49</v>
      </c>
      <c r="I677" s="2">
        <v>153988.48000000001</v>
      </c>
      <c r="J677" s="2">
        <v>164557.38</v>
      </c>
      <c r="K677" s="2">
        <v>157607.17000000001</v>
      </c>
      <c r="L677" s="2">
        <f t="shared" si="40"/>
        <v>-3648.0099999999802</v>
      </c>
      <c r="M677" s="4">
        <f t="shared" si="41"/>
        <v>-2.3141913398350727E-2</v>
      </c>
      <c r="N677" s="2">
        <f t="shared" si="42"/>
        <v>10568.899999999994</v>
      </c>
      <c r="O677" s="6">
        <f t="shared" si="43"/>
        <v>1.0686343549855157</v>
      </c>
    </row>
    <row r="678" spans="1:15" x14ac:dyDescent="0.2">
      <c r="A678" t="s">
        <v>36</v>
      </c>
      <c r="B678" t="s">
        <v>37</v>
      </c>
      <c r="C678" t="s">
        <v>13</v>
      </c>
      <c r="D678" t="s">
        <v>38</v>
      </c>
      <c r="E678" t="s">
        <v>39</v>
      </c>
      <c r="F678" s="1">
        <v>45778</v>
      </c>
      <c r="G678" t="s">
        <v>20</v>
      </c>
      <c r="H678" s="2">
        <v>37995.18</v>
      </c>
      <c r="I678" s="2">
        <v>37225.97</v>
      </c>
      <c r="J678" s="2">
        <v>37488.35</v>
      </c>
      <c r="K678" s="2">
        <v>37746.85</v>
      </c>
      <c r="L678" s="2">
        <f t="shared" si="40"/>
        <v>-769.20999999999913</v>
      </c>
      <c r="M678" s="4">
        <f t="shared" si="41"/>
        <v>-2.0244936331397803E-2</v>
      </c>
      <c r="N678" s="2">
        <f t="shared" si="42"/>
        <v>262.37999999999738</v>
      </c>
      <c r="O678" s="6">
        <f t="shared" si="43"/>
        <v>1.0070483052557127</v>
      </c>
    </row>
    <row r="679" spans="1:15" x14ac:dyDescent="0.2">
      <c r="A679" t="s">
        <v>36</v>
      </c>
      <c r="B679" t="s">
        <v>37</v>
      </c>
      <c r="C679" t="s">
        <v>13</v>
      </c>
      <c r="D679" t="s">
        <v>38</v>
      </c>
      <c r="E679" t="s">
        <v>39</v>
      </c>
      <c r="F679" s="1">
        <v>45778</v>
      </c>
      <c r="G679" t="s">
        <v>21</v>
      </c>
      <c r="H679" s="2">
        <v>59245.68</v>
      </c>
      <c r="I679" s="2">
        <v>54431.27</v>
      </c>
      <c r="J679" s="2">
        <v>58658.55</v>
      </c>
      <c r="K679" s="2">
        <v>55692.58</v>
      </c>
      <c r="L679" s="2">
        <f t="shared" si="40"/>
        <v>-4814.4100000000035</v>
      </c>
      <c r="M679" s="4">
        <f t="shared" si="41"/>
        <v>-8.1261789889153155E-2</v>
      </c>
      <c r="N679" s="2">
        <f t="shared" si="42"/>
        <v>4227.2800000000061</v>
      </c>
      <c r="O679" s="6">
        <f t="shared" si="43"/>
        <v>1.0776627111584942</v>
      </c>
    </row>
    <row r="680" spans="1:15" x14ac:dyDescent="0.2">
      <c r="A680" t="s">
        <v>36</v>
      </c>
      <c r="B680" t="s">
        <v>37</v>
      </c>
      <c r="C680" t="s">
        <v>13</v>
      </c>
      <c r="D680" t="s">
        <v>38</v>
      </c>
      <c r="E680" t="s">
        <v>39</v>
      </c>
      <c r="F680" s="1">
        <v>45809</v>
      </c>
      <c r="G680" t="s">
        <v>16</v>
      </c>
      <c r="H680" s="2">
        <v>351326.9</v>
      </c>
      <c r="I680" s="2">
        <v>328175.62</v>
      </c>
      <c r="J680" s="2">
        <v>364240.11</v>
      </c>
      <c r="K680" s="2">
        <v>332174.65000000002</v>
      </c>
      <c r="L680" s="2">
        <f t="shared" si="40"/>
        <v>-23151.280000000028</v>
      </c>
      <c r="M680" s="4">
        <f t="shared" si="41"/>
        <v>-6.589669051814713E-2</v>
      </c>
      <c r="N680" s="2">
        <f t="shared" si="42"/>
        <v>36064.489999999991</v>
      </c>
      <c r="O680" s="6">
        <f t="shared" si="43"/>
        <v>1.1098938732865042</v>
      </c>
    </row>
    <row r="681" spans="1:15" x14ac:dyDescent="0.2">
      <c r="A681" t="s">
        <v>36</v>
      </c>
      <c r="B681" t="s">
        <v>37</v>
      </c>
      <c r="C681" t="s">
        <v>13</v>
      </c>
      <c r="D681" t="s">
        <v>38</v>
      </c>
      <c r="E681" t="s">
        <v>39</v>
      </c>
      <c r="F681" s="1">
        <v>45809</v>
      </c>
      <c r="G681" t="s">
        <v>17</v>
      </c>
      <c r="H681" s="2">
        <v>275666.42</v>
      </c>
      <c r="I681" s="2">
        <v>265757.02</v>
      </c>
      <c r="J681" s="2">
        <v>292083.07</v>
      </c>
      <c r="K681" s="2">
        <v>271528.56</v>
      </c>
      <c r="L681" s="2">
        <f t="shared" si="40"/>
        <v>-9909.3999999999651</v>
      </c>
      <c r="M681" s="4">
        <f t="shared" si="41"/>
        <v>-3.5947069650340314E-2</v>
      </c>
      <c r="N681" s="2">
        <f t="shared" si="42"/>
        <v>26326.049999999988</v>
      </c>
      <c r="O681" s="6">
        <f t="shared" si="43"/>
        <v>1.0990606005440609</v>
      </c>
    </row>
    <row r="682" spans="1:15" x14ac:dyDescent="0.2">
      <c r="A682" t="s">
        <v>36</v>
      </c>
      <c r="B682" t="s">
        <v>37</v>
      </c>
      <c r="C682" t="s">
        <v>13</v>
      </c>
      <c r="D682" t="s">
        <v>38</v>
      </c>
      <c r="E682" t="s">
        <v>39</v>
      </c>
      <c r="F682" s="1">
        <v>45809</v>
      </c>
      <c r="G682" t="s">
        <v>18</v>
      </c>
      <c r="H682" s="2">
        <v>209497.42</v>
      </c>
      <c r="I682" s="2">
        <v>192980.04</v>
      </c>
      <c r="J682" s="2">
        <v>211647.33</v>
      </c>
      <c r="K682" s="2">
        <v>197797.41</v>
      </c>
      <c r="L682" s="2">
        <f t="shared" si="40"/>
        <v>-16517.380000000005</v>
      </c>
      <c r="M682" s="4">
        <f t="shared" si="41"/>
        <v>-7.8842880260768855E-2</v>
      </c>
      <c r="N682" s="2">
        <f t="shared" si="42"/>
        <v>18667.289999999979</v>
      </c>
      <c r="O682" s="6">
        <f t="shared" si="43"/>
        <v>1.0967317138083295</v>
      </c>
    </row>
    <row r="683" spans="1:15" x14ac:dyDescent="0.2">
      <c r="A683" t="s">
        <v>36</v>
      </c>
      <c r="B683" t="s">
        <v>37</v>
      </c>
      <c r="C683" t="s">
        <v>13</v>
      </c>
      <c r="D683" t="s">
        <v>38</v>
      </c>
      <c r="E683" t="s">
        <v>39</v>
      </c>
      <c r="F683" s="1">
        <v>45809</v>
      </c>
      <c r="G683" t="s">
        <v>19</v>
      </c>
      <c r="H683" s="2">
        <v>156363.66</v>
      </c>
      <c r="I683" s="2">
        <v>145321.81</v>
      </c>
      <c r="J683" s="2">
        <v>156402.76</v>
      </c>
      <c r="K683" s="2">
        <v>150808.12</v>
      </c>
      <c r="L683" s="2">
        <f t="shared" si="40"/>
        <v>-11041.850000000006</v>
      </c>
      <c r="M683" s="4">
        <f t="shared" si="41"/>
        <v>-7.0616471883556617E-2</v>
      </c>
      <c r="N683" s="2">
        <f t="shared" si="42"/>
        <v>11080.950000000012</v>
      </c>
      <c r="O683" s="6">
        <f t="shared" si="43"/>
        <v>1.0762511146812719</v>
      </c>
    </row>
    <row r="684" spans="1:15" x14ac:dyDescent="0.2">
      <c r="A684" t="s">
        <v>36</v>
      </c>
      <c r="B684" t="s">
        <v>37</v>
      </c>
      <c r="C684" t="s">
        <v>13</v>
      </c>
      <c r="D684" t="s">
        <v>38</v>
      </c>
      <c r="E684" t="s">
        <v>39</v>
      </c>
      <c r="F684" s="1">
        <v>45809</v>
      </c>
      <c r="G684" t="s">
        <v>20</v>
      </c>
      <c r="H684" s="2">
        <v>38317.35</v>
      </c>
      <c r="I684" s="2">
        <v>36989.300000000003</v>
      </c>
      <c r="J684" s="2">
        <v>38457.160000000003</v>
      </c>
      <c r="K684" s="2">
        <v>38079.49</v>
      </c>
      <c r="L684" s="2">
        <f t="shared" si="40"/>
        <v>-1328.0499999999956</v>
      </c>
      <c r="M684" s="4">
        <f t="shared" si="41"/>
        <v>-3.4659234002351304E-2</v>
      </c>
      <c r="N684" s="2">
        <f t="shared" si="42"/>
        <v>1467.8600000000006</v>
      </c>
      <c r="O684" s="6">
        <f t="shared" si="43"/>
        <v>1.0396833678928772</v>
      </c>
    </row>
    <row r="685" spans="1:15" x14ac:dyDescent="0.2">
      <c r="A685" t="s">
        <v>36</v>
      </c>
      <c r="B685" t="s">
        <v>37</v>
      </c>
      <c r="C685" t="s">
        <v>13</v>
      </c>
      <c r="D685" t="s">
        <v>38</v>
      </c>
      <c r="E685" t="s">
        <v>39</v>
      </c>
      <c r="F685" s="1">
        <v>45809</v>
      </c>
      <c r="G685" t="s">
        <v>21</v>
      </c>
      <c r="H685" s="2">
        <v>59541.63</v>
      </c>
      <c r="I685" s="2">
        <v>56371.06</v>
      </c>
      <c r="J685" s="2">
        <v>60076.06</v>
      </c>
      <c r="K685" s="2">
        <v>56941.75</v>
      </c>
      <c r="L685" s="2">
        <f t="shared" si="40"/>
        <v>-3170.5699999999997</v>
      </c>
      <c r="M685" s="4">
        <f t="shared" si="41"/>
        <v>-5.3249633911601008E-2</v>
      </c>
      <c r="N685" s="2">
        <f t="shared" si="42"/>
        <v>3705</v>
      </c>
      <c r="O685" s="6">
        <f t="shared" si="43"/>
        <v>1.0657252143209655</v>
      </c>
    </row>
    <row r="686" spans="1:15" x14ac:dyDescent="0.2">
      <c r="A686" t="s">
        <v>36</v>
      </c>
      <c r="B686" t="s">
        <v>37</v>
      </c>
      <c r="C686" t="s">
        <v>13</v>
      </c>
      <c r="D686" t="s">
        <v>38</v>
      </c>
      <c r="E686" t="s">
        <v>39</v>
      </c>
      <c r="F686" s="1">
        <v>45839</v>
      </c>
      <c r="G686" t="s">
        <v>16</v>
      </c>
      <c r="H686" s="2">
        <v>350165.16</v>
      </c>
      <c r="I686" s="2">
        <v>339381.52</v>
      </c>
      <c r="J686" s="2">
        <v>353447.03</v>
      </c>
      <c r="K686" s="2">
        <v>345429.86</v>
      </c>
      <c r="L686" s="2">
        <f t="shared" si="40"/>
        <v>-10783.639999999956</v>
      </c>
      <c r="M686" s="4">
        <f t="shared" si="41"/>
        <v>-3.0795867869893044E-2</v>
      </c>
      <c r="N686" s="2">
        <f t="shared" si="42"/>
        <v>14065.510000000009</v>
      </c>
      <c r="O686" s="6">
        <f t="shared" si="43"/>
        <v>1.0414445371097401</v>
      </c>
    </row>
    <row r="687" spans="1:15" x14ac:dyDescent="0.2">
      <c r="A687" t="s">
        <v>36</v>
      </c>
      <c r="B687" t="s">
        <v>37</v>
      </c>
      <c r="C687" t="s">
        <v>13</v>
      </c>
      <c r="D687" t="s">
        <v>38</v>
      </c>
      <c r="E687" t="s">
        <v>39</v>
      </c>
      <c r="F687" s="1">
        <v>45839</v>
      </c>
      <c r="G687" t="s">
        <v>17</v>
      </c>
      <c r="H687" s="2">
        <v>272906.81</v>
      </c>
      <c r="I687" s="2">
        <v>260261.56</v>
      </c>
      <c r="J687" s="2">
        <v>280181.42</v>
      </c>
      <c r="K687" s="2">
        <v>265832.12</v>
      </c>
      <c r="L687" s="2">
        <f t="shared" si="40"/>
        <v>-12645.25</v>
      </c>
      <c r="M687" s="4">
        <f t="shared" si="41"/>
        <v>-4.6335413909238836E-2</v>
      </c>
      <c r="N687" s="2">
        <f t="shared" si="42"/>
        <v>19919.859999999986</v>
      </c>
      <c r="O687" s="6">
        <f t="shared" si="43"/>
        <v>1.076537849077674</v>
      </c>
    </row>
    <row r="688" spans="1:15" x14ac:dyDescent="0.2">
      <c r="A688" t="s">
        <v>36</v>
      </c>
      <c r="B688" t="s">
        <v>37</v>
      </c>
      <c r="C688" t="s">
        <v>13</v>
      </c>
      <c r="D688" t="s">
        <v>38</v>
      </c>
      <c r="E688" t="s">
        <v>39</v>
      </c>
      <c r="F688" s="1">
        <v>45839</v>
      </c>
      <c r="G688" t="s">
        <v>18</v>
      </c>
      <c r="H688" s="2">
        <v>221935.85</v>
      </c>
      <c r="I688" s="2">
        <v>205324.81</v>
      </c>
      <c r="J688" s="2">
        <v>230585.43</v>
      </c>
      <c r="K688" s="2">
        <v>211668.18</v>
      </c>
      <c r="L688" s="2">
        <f t="shared" si="40"/>
        <v>-16611.040000000008</v>
      </c>
      <c r="M688" s="4">
        <f t="shared" si="41"/>
        <v>-7.4846132339592752E-2</v>
      </c>
      <c r="N688" s="2">
        <f t="shared" si="42"/>
        <v>25260.619999999995</v>
      </c>
      <c r="O688" s="6">
        <f t="shared" si="43"/>
        <v>1.1230276068440048</v>
      </c>
    </row>
    <row r="689" spans="1:15" x14ac:dyDescent="0.2">
      <c r="A689" t="s">
        <v>36</v>
      </c>
      <c r="B689" t="s">
        <v>37</v>
      </c>
      <c r="C689" t="s">
        <v>13</v>
      </c>
      <c r="D689" t="s">
        <v>38</v>
      </c>
      <c r="E689" t="s">
        <v>39</v>
      </c>
      <c r="F689" s="1">
        <v>45839</v>
      </c>
      <c r="G689" t="s">
        <v>19</v>
      </c>
      <c r="H689" s="2">
        <v>158414.75</v>
      </c>
      <c r="I689" s="2">
        <v>152797.70000000001</v>
      </c>
      <c r="J689" s="2">
        <v>165722.26999999999</v>
      </c>
      <c r="K689" s="2">
        <v>153395.97</v>
      </c>
      <c r="L689" s="2">
        <f t="shared" si="40"/>
        <v>-5617.0499999999884</v>
      </c>
      <c r="M689" s="4">
        <f t="shared" si="41"/>
        <v>-3.5457872451902288E-2</v>
      </c>
      <c r="N689" s="2">
        <f t="shared" si="42"/>
        <v>12924.569999999978</v>
      </c>
      <c r="O689" s="6">
        <f t="shared" si="43"/>
        <v>1.0845861554198786</v>
      </c>
    </row>
    <row r="690" spans="1:15" x14ac:dyDescent="0.2">
      <c r="A690" t="s">
        <v>36</v>
      </c>
      <c r="B690" t="s">
        <v>37</v>
      </c>
      <c r="C690" t="s">
        <v>13</v>
      </c>
      <c r="D690" t="s">
        <v>38</v>
      </c>
      <c r="E690" t="s">
        <v>39</v>
      </c>
      <c r="F690" s="1">
        <v>45839</v>
      </c>
      <c r="G690" t="s">
        <v>20</v>
      </c>
      <c r="H690" s="2">
        <v>37998.22</v>
      </c>
      <c r="I690" s="2">
        <v>36262.06</v>
      </c>
      <c r="J690" s="2">
        <v>39197.760000000002</v>
      </c>
      <c r="K690" s="2">
        <v>37093.93</v>
      </c>
      <c r="L690" s="2">
        <f t="shared" si="40"/>
        <v>-1736.1600000000035</v>
      </c>
      <c r="M690" s="4">
        <f t="shared" si="41"/>
        <v>-4.5690561294713369E-2</v>
      </c>
      <c r="N690" s="2">
        <f t="shared" si="42"/>
        <v>2935.7000000000044</v>
      </c>
      <c r="O690" s="6">
        <f t="shared" si="43"/>
        <v>1.0809578937324578</v>
      </c>
    </row>
    <row r="691" spans="1:15" x14ac:dyDescent="0.2">
      <c r="A691" t="s">
        <v>36</v>
      </c>
      <c r="B691" t="s">
        <v>37</v>
      </c>
      <c r="C691" t="s">
        <v>13</v>
      </c>
      <c r="D691" t="s">
        <v>38</v>
      </c>
      <c r="E691" t="s">
        <v>39</v>
      </c>
      <c r="F691" s="1">
        <v>45839</v>
      </c>
      <c r="G691" t="s">
        <v>21</v>
      </c>
      <c r="H691" s="2">
        <v>60679.13</v>
      </c>
      <c r="I691" s="2">
        <v>57759.49</v>
      </c>
      <c r="J691" s="2">
        <v>63453.05</v>
      </c>
      <c r="K691" s="2">
        <v>59652.13</v>
      </c>
      <c r="L691" s="2">
        <f t="shared" si="40"/>
        <v>-2919.6399999999994</v>
      </c>
      <c r="M691" s="4">
        <f t="shared" si="41"/>
        <v>-4.8116049125951535E-2</v>
      </c>
      <c r="N691" s="2">
        <f t="shared" si="42"/>
        <v>5693.5600000000049</v>
      </c>
      <c r="O691" s="6">
        <f t="shared" si="43"/>
        <v>1.098573585050699</v>
      </c>
    </row>
    <row r="692" spans="1:15" x14ac:dyDescent="0.2">
      <c r="A692" t="s">
        <v>36</v>
      </c>
      <c r="B692" t="s">
        <v>37</v>
      </c>
      <c r="C692" t="s">
        <v>13</v>
      </c>
      <c r="D692" t="s">
        <v>38</v>
      </c>
      <c r="E692" t="s">
        <v>39</v>
      </c>
      <c r="F692" s="1">
        <v>45870</v>
      </c>
      <c r="G692" t="s">
        <v>16</v>
      </c>
      <c r="H692" s="2">
        <v>367712.87</v>
      </c>
      <c r="I692" s="2">
        <v>345082.44</v>
      </c>
      <c r="J692" s="2">
        <v>390210.48</v>
      </c>
      <c r="K692" s="2">
        <v>351712.59</v>
      </c>
      <c r="L692" s="2">
        <f t="shared" si="40"/>
        <v>-22630.429999999993</v>
      </c>
      <c r="M692" s="4">
        <f t="shared" si="41"/>
        <v>-6.1543752874355456E-2</v>
      </c>
      <c r="N692" s="2">
        <f t="shared" si="42"/>
        <v>45128.039999999979</v>
      </c>
      <c r="O692" s="6">
        <f t="shared" si="43"/>
        <v>1.1307746635847364</v>
      </c>
    </row>
    <row r="693" spans="1:15" x14ac:dyDescent="0.2">
      <c r="A693" t="s">
        <v>36</v>
      </c>
      <c r="B693" t="s">
        <v>37</v>
      </c>
      <c r="C693" t="s">
        <v>13</v>
      </c>
      <c r="D693" t="s">
        <v>38</v>
      </c>
      <c r="E693" t="s">
        <v>39</v>
      </c>
      <c r="F693" s="1">
        <v>45870</v>
      </c>
      <c r="G693" t="s">
        <v>17</v>
      </c>
      <c r="H693" s="2">
        <v>279009.3</v>
      </c>
      <c r="I693" s="2">
        <v>263382.43</v>
      </c>
      <c r="J693" s="2">
        <v>281345.18</v>
      </c>
      <c r="K693" s="2">
        <v>266719.01</v>
      </c>
      <c r="L693" s="2">
        <f t="shared" si="40"/>
        <v>-15626.869999999995</v>
      </c>
      <c r="M693" s="4">
        <f t="shared" si="41"/>
        <v>-5.6008419791024874E-2</v>
      </c>
      <c r="N693" s="2">
        <f t="shared" si="42"/>
        <v>17962.75</v>
      </c>
      <c r="O693" s="6">
        <f t="shared" si="43"/>
        <v>1.0682002592200246</v>
      </c>
    </row>
    <row r="694" spans="1:15" x14ac:dyDescent="0.2">
      <c r="A694" t="s">
        <v>36</v>
      </c>
      <c r="B694" t="s">
        <v>37</v>
      </c>
      <c r="C694" t="s">
        <v>13</v>
      </c>
      <c r="D694" t="s">
        <v>38</v>
      </c>
      <c r="E694" t="s">
        <v>39</v>
      </c>
      <c r="F694" s="1">
        <v>45870</v>
      </c>
      <c r="G694" t="s">
        <v>18</v>
      </c>
      <c r="H694" s="2">
        <v>216964.04</v>
      </c>
      <c r="I694" s="2">
        <v>205052.3</v>
      </c>
      <c r="J694" s="2">
        <v>220578.49</v>
      </c>
      <c r="K694" s="2">
        <v>212647.08</v>
      </c>
      <c r="L694" s="2">
        <f t="shared" si="40"/>
        <v>-11911.74000000002</v>
      </c>
      <c r="M694" s="4">
        <f t="shared" si="41"/>
        <v>-5.4901909090557213E-2</v>
      </c>
      <c r="N694" s="2">
        <f t="shared" si="42"/>
        <v>15526.190000000002</v>
      </c>
      <c r="O694" s="6">
        <f t="shared" si="43"/>
        <v>1.0757181948215162</v>
      </c>
    </row>
    <row r="695" spans="1:15" x14ac:dyDescent="0.2">
      <c r="A695" t="s">
        <v>36</v>
      </c>
      <c r="B695" t="s">
        <v>37</v>
      </c>
      <c r="C695" t="s">
        <v>13</v>
      </c>
      <c r="D695" t="s">
        <v>38</v>
      </c>
      <c r="E695" t="s">
        <v>39</v>
      </c>
      <c r="F695" s="1">
        <v>45870</v>
      </c>
      <c r="G695" t="s">
        <v>19</v>
      </c>
      <c r="H695" s="2">
        <v>163507.95000000001</v>
      </c>
      <c r="I695" s="2">
        <v>152404.51</v>
      </c>
      <c r="J695" s="2">
        <v>165322.85999999999</v>
      </c>
      <c r="K695" s="2">
        <v>155833.73000000001</v>
      </c>
      <c r="L695" s="2">
        <f t="shared" si="40"/>
        <v>-11103.440000000002</v>
      </c>
      <c r="M695" s="4">
        <f t="shared" si="41"/>
        <v>-6.790764608081748E-2</v>
      </c>
      <c r="N695" s="2">
        <f t="shared" si="42"/>
        <v>12918.349999999977</v>
      </c>
      <c r="O695" s="6">
        <f t="shared" si="43"/>
        <v>1.0847635676923209</v>
      </c>
    </row>
    <row r="696" spans="1:15" x14ac:dyDescent="0.2">
      <c r="A696" t="s">
        <v>36</v>
      </c>
      <c r="B696" t="s">
        <v>37</v>
      </c>
      <c r="C696" t="s">
        <v>13</v>
      </c>
      <c r="D696" t="s">
        <v>38</v>
      </c>
      <c r="E696" t="s">
        <v>39</v>
      </c>
      <c r="F696" s="1">
        <v>45870</v>
      </c>
      <c r="G696" t="s">
        <v>20</v>
      </c>
      <c r="H696" s="2">
        <v>36737.019999999997</v>
      </c>
      <c r="I696" s="2">
        <v>34374.22</v>
      </c>
      <c r="J696" s="2">
        <v>37753.480000000003</v>
      </c>
      <c r="K696" s="2">
        <v>35405.61</v>
      </c>
      <c r="L696" s="2">
        <f t="shared" si="40"/>
        <v>-2362.7999999999956</v>
      </c>
      <c r="M696" s="4">
        <f t="shared" si="41"/>
        <v>-6.4316593997008897E-2</v>
      </c>
      <c r="N696" s="2">
        <f t="shared" si="42"/>
        <v>3379.260000000002</v>
      </c>
      <c r="O696" s="6">
        <f t="shared" si="43"/>
        <v>1.0983079761518952</v>
      </c>
    </row>
    <row r="697" spans="1:15" x14ac:dyDescent="0.2">
      <c r="A697" t="s">
        <v>36</v>
      </c>
      <c r="B697" t="s">
        <v>37</v>
      </c>
      <c r="C697" t="s">
        <v>13</v>
      </c>
      <c r="D697" t="s">
        <v>38</v>
      </c>
      <c r="E697" t="s">
        <v>39</v>
      </c>
      <c r="F697" s="1">
        <v>45870</v>
      </c>
      <c r="G697" t="s">
        <v>21</v>
      </c>
      <c r="H697" s="2">
        <v>59319.42</v>
      </c>
      <c r="I697" s="2">
        <v>57497.84</v>
      </c>
      <c r="J697" s="2">
        <v>58284.51</v>
      </c>
      <c r="K697" s="2">
        <v>57786.2</v>
      </c>
      <c r="L697" s="2">
        <f t="shared" si="40"/>
        <v>-1821.5800000000017</v>
      </c>
      <c r="M697" s="4">
        <f t="shared" si="41"/>
        <v>-3.0707987367374831E-2</v>
      </c>
      <c r="N697" s="2">
        <f t="shared" si="42"/>
        <v>786.67000000000553</v>
      </c>
      <c r="O697" s="6">
        <f t="shared" si="43"/>
        <v>1.0136817313485169</v>
      </c>
    </row>
    <row r="698" spans="1:15" x14ac:dyDescent="0.2">
      <c r="A698" t="s">
        <v>36</v>
      </c>
      <c r="B698" t="s">
        <v>37</v>
      </c>
      <c r="C698" t="s">
        <v>13</v>
      </c>
      <c r="D698" t="s">
        <v>38</v>
      </c>
      <c r="E698" t="s">
        <v>39</v>
      </c>
      <c r="F698" s="1">
        <v>45901</v>
      </c>
      <c r="G698" t="s">
        <v>16</v>
      </c>
      <c r="H698" s="2">
        <v>358578.04</v>
      </c>
      <c r="I698" s="2">
        <v>350493.69</v>
      </c>
      <c r="J698" s="2">
        <v>374618.47</v>
      </c>
      <c r="K698" s="2">
        <v>356305.27</v>
      </c>
      <c r="L698" s="2">
        <f t="shared" si="40"/>
        <v>-8084.3499999999767</v>
      </c>
      <c r="M698" s="4">
        <f t="shared" si="41"/>
        <v>-2.2545580314957316E-2</v>
      </c>
      <c r="N698" s="2">
        <f t="shared" si="42"/>
        <v>24124.77999999997</v>
      </c>
      <c r="O698" s="6">
        <f t="shared" si="43"/>
        <v>1.0688308539876994</v>
      </c>
    </row>
    <row r="699" spans="1:15" x14ac:dyDescent="0.2">
      <c r="A699" t="s">
        <v>36</v>
      </c>
      <c r="B699" t="s">
        <v>37</v>
      </c>
      <c r="C699" t="s">
        <v>13</v>
      </c>
      <c r="D699" t="s">
        <v>38</v>
      </c>
      <c r="E699" t="s">
        <v>39</v>
      </c>
      <c r="F699" s="1">
        <v>45901</v>
      </c>
      <c r="G699" t="s">
        <v>17</v>
      </c>
      <c r="H699" s="2">
        <v>288988.65000000002</v>
      </c>
      <c r="I699" s="2">
        <v>282923.09000000003</v>
      </c>
      <c r="J699" s="2">
        <v>290446.09999999998</v>
      </c>
      <c r="K699" s="2">
        <v>283677.55</v>
      </c>
      <c r="L699" s="2">
        <f t="shared" si="40"/>
        <v>-6065.5599999999977</v>
      </c>
      <c r="M699" s="4">
        <f t="shared" si="41"/>
        <v>-2.098892119119556E-2</v>
      </c>
      <c r="N699" s="2">
        <f t="shared" si="42"/>
        <v>7523.0099999999511</v>
      </c>
      <c r="O699" s="6">
        <f t="shared" si="43"/>
        <v>1.0265903005654291</v>
      </c>
    </row>
    <row r="700" spans="1:15" x14ac:dyDescent="0.2">
      <c r="A700" t="s">
        <v>36</v>
      </c>
      <c r="B700" t="s">
        <v>37</v>
      </c>
      <c r="C700" t="s">
        <v>13</v>
      </c>
      <c r="D700" t="s">
        <v>38</v>
      </c>
      <c r="E700" t="s">
        <v>39</v>
      </c>
      <c r="F700" s="1">
        <v>45901</v>
      </c>
      <c r="G700" t="s">
        <v>18</v>
      </c>
      <c r="H700" s="2">
        <v>221456.83</v>
      </c>
      <c r="I700" s="2">
        <v>218817.03</v>
      </c>
      <c r="J700" s="2">
        <v>225941.93</v>
      </c>
      <c r="K700" s="2">
        <v>220848.36</v>
      </c>
      <c r="L700" s="2">
        <f t="shared" si="40"/>
        <v>-2639.7999999999884</v>
      </c>
      <c r="M700" s="4">
        <f t="shared" si="41"/>
        <v>-1.1920156176713938E-2</v>
      </c>
      <c r="N700" s="2">
        <f t="shared" si="42"/>
        <v>7124.8999999999942</v>
      </c>
      <c r="O700" s="6">
        <f t="shared" si="43"/>
        <v>1.0325609939957598</v>
      </c>
    </row>
    <row r="701" spans="1:15" x14ac:dyDescent="0.2">
      <c r="A701" t="s">
        <v>36</v>
      </c>
      <c r="B701" t="s">
        <v>37</v>
      </c>
      <c r="C701" t="s">
        <v>13</v>
      </c>
      <c r="D701" t="s">
        <v>38</v>
      </c>
      <c r="E701" t="s">
        <v>39</v>
      </c>
      <c r="F701" s="1">
        <v>45901</v>
      </c>
      <c r="G701" t="s">
        <v>19</v>
      </c>
      <c r="H701" s="2">
        <v>156981.46</v>
      </c>
      <c r="I701" s="2">
        <v>152555.79</v>
      </c>
      <c r="J701" s="2">
        <v>162958.57</v>
      </c>
      <c r="K701" s="2">
        <v>155251.89000000001</v>
      </c>
      <c r="L701" s="2">
        <f t="shared" si="40"/>
        <v>-4425.6699999999837</v>
      </c>
      <c r="M701" s="4">
        <f t="shared" si="41"/>
        <v>-2.8192310098275199E-2</v>
      </c>
      <c r="N701" s="2">
        <f t="shared" si="42"/>
        <v>10402.779999999999</v>
      </c>
      <c r="O701" s="6">
        <f t="shared" si="43"/>
        <v>1.0681900044567303</v>
      </c>
    </row>
    <row r="702" spans="1:15" x14ac:dyDescent="0.2">
      <c r="A702" t="s">
        <v>36</v>
      </c>
      <c r="B702" t="s">
        <v>37</v>
      </c>
      <c r="C702" t="s">
        <v>13</v>
      </c>
      <c r="D702" t="s">
        <v>38</v>
      </c>
      <c r="E702" t="s">
        <v>39</v>
      </c>
      <c r="F702" s="1">
        <v>45901</v>
      </c>
      <c r="G702" t="s">
        <v>20</v>
      </c>
      <c r="H702" s="2">
        <v>38616.089999999997</v>
      </c>
      <c r="I702" s="2">
        <v>38707.65</v>
      </c>
      <c r="J702" s="2">
        <v>38915.599999999999</v>
      </c>
      <c r="K702" s="2">
        <v>38713.980000000003</v>
      </c>
      <c r="L702" s="2">
        <f t="shared" si="40"/>
        <v>91.560000000004948</v>
      </c>
      <c r="M702" s="4">
        <f t="shared" si="41"/>
        <v>2.3710323857232814E-3</v>
      </c>
      <c r="N702" s="2">
        <f t="shared" si="42"/>
        <v>207.94999999999709</v>
      </c>
      <c r="O702" s="6">
        <f t="shared" si="43"/>
        <v>1.0053723230420859</v>
      </c>
    </row>
    <row r="703" spans="1:15" x14ac:dyDescent="0.2">
      <c r="A703" t="s">
        <v>36</v>
      </c>
      <c r="B703" t="s">
        <v>37</v>
      </c>
      <c r="C703" t="s">
        <v>13</v>
      </c>
      <c r="D703" t="s">
        <v>38</v>
      </c>
      <c r="E703" t="s">
        <v>39</v>
      </c>
      <c r="F703" s="1">
        <v>45901</v>
      </c>
      <c r="G703" t="s">
        <v>21</v>
      </c>
      <c r="H703" s="2">
        <v>59781.66</v>
      </c>
      <c r="I703" s="2">
        <v>58495.99</v>
      </c>
      <c r="J703" s="2">
        <v>58628.42</v>
      </c>
      <c r="K703" s="2">
        <v>58669.19</v>
      </c>
      <c r="L703" s="2">
        <f t="shared" si="40"/>
        <v>-1285.6700000000055</v>
      </c>
      <c r="M703" s="4">
        <f t="shared" si="41"/>
        <v>-2.1506094009433752E-2</v>
      </c>
      <c r="N703" s="2">
        <f t="shared" si="42"/>
        <v>132.43000000000029</v>
      </c>
      <c r="O703" s="6">
        <f t="shared" si="43"/>
        <v>1.002263915868421</v>
      </c>
    </row>
    <row r="704" spans="1:15" x14ac:dyDescent="0.2">
      <c r="A704" t="s">
        <v>36</v>
      </c>
      <c r="B704" t="s">
        <v>37</v>
      </c>
      <c r="C704" t="s">
        <v>13</v>
      </c>
      <c r="D704" t="s">
        <v>38</v>
      </c>
      <c r="E704" t="s">
        <v>39</v>
      </c>
      <c r="F704" s="1">
        <v>45931</v>
      </c>
      <c r="G704" t="s">
        <v>16</v>
      </c>
      <c r="H704" s="2">
        <v>361343.91</v>
      </c>
      <c r="I704" s="2">
        <v>348177.67</v>
      </c>
      <c r="J704" s="2">
        <v>375092.61</v>
      </c>
      <c r="K704" s="2">
        <v>349869.62</v>
      </c>
      <c r="L704" s="2">
        <f t="shared" si="40"/>
        <v>-13166.239999999991</v>
      </c>
      <c r="M704" s="4">
        <f t="shared" si="41"/>
        <v>-3.6436867027868247E-2</v>
      </c>
      <c r="N704" s="2">
        <f t="shared" si="42"/>
        <v>26914.940000000002</v>
      </c>
      <c r="O704" s="6">
        <f t="shared" si="43"/>
        <v>1.0773023152231445</v>
      </c>
    </row>
    <row r="705" spans="1:15" x14ac:dyDescent="0.2">
      <c r="A705" t="s">
        <v>36</v>
      </c>
      <c r="B705" t="s">
        <v>37</v>
      </c>
      <c r="C705" t="s">
        <v>13</v>
      </c>
      <c r="D705" t="s">
        <v>38</v>
      </c>
      <c r="E705" t="s">
        <v>39</v>
      </c>
      <c r="F705" s="1">
        <v>45931</v>
      </c>
      <c r="G705" t="s">
        <v>17</v>
      </c>
      <c r="H705" s="2">
        <v>273735.45</v>
      </c>
      <c r="I705" s="2">
        <v>265343.96999999997</v>
      </c>
      <c r="J705" s="2">
        <v>279381.3</v>
      </c>
      <c r="K705" s="2">
        <v>266212.89</v>
      </c>
      <c r="L705" s="2">
        <f t="shared" si="40"/>
        <v>-8391.4800000000396</v>
      </c>
      <c r="M705" s="4">
        <f t="shared" si="41"/>
        <v>-3.06554375766823E-2</v>
      </c>
      <c r="N705" s="2">
        <f t="shared" si="42"/>
        <v>14037.330000000016</v>
      </c>
      <c r="O705" s="6">
        <f t="shared" si="43"/>
        <v>1.0529023893024592</v>
      </c>
    </row>
    <row r="706" spans="1:15" x14ac:dyDescent="0.2">
      <c r="A706" t="s">
        <v>36</v>
      </c>
      <c r="B706" t="s">
        <v>37</v>
      </c>
      <c r="C706" t="s">
        <v>13</v>
      </c>
      <c r="D706" t="s">
        <v>38</v>
      </c>
      <c r="E706" t="s">
        <v>39</v>
      </c>
      <c r="F706" s="1">
        <v>45931</v>
      </c>
      <c r="G706" t="s">
        <v>18</v>
      </c>
      <c r="H706" s="2">
        <v>216383.08</v>
      </c>
      <c r="I706" s="2">
        <v>207627.25</v>
      </c>
      <c r="J706" s="2">
        <v>220054.56</v>
      </c>
      <c r="K706" s="2">
        <v>208098.78</v>
      </c>
      <c r="L706" s="2">
        <f t="shared" ref="L706:L769" si="44">I706-H706</f>
        <v>-8755.8299999999872</v>
      </c>
      <c r="M706" s="4">
        <f t="shared" ref="M706:M769" si="45">L706/H706</f>
        <v>-4.0464485485648821E-2</v>
      </c>
      <c r="N706" s="2">
        <f t="shared" ref="N706:N769" si="46">J706-I706</f>
        <v>12427.309999999998</v>
      </c>
      <c r="O706" s="6">
        <f t="shared" ref="O706:O769" si="47">J706/I706</f>
        <v>1.0598539449903612</v>
      </c>
    </row>
    <row r="707" spans="1:15" x14ac:dyDescent="0.2">
      <c r="A707" t="s">
        <v>36</v>
      </c>
      <c r="B707" t="s">
        <v>37</v>
      </c>
      <c r="C707" t="s">
        <v>13</v>
      </c>
      <c r="D707" t="s">
        <v>38</v>
      </c>
      <c r="E707" t="s">
        <v>39</v>
      </c>
      <c r="F707" s="1">
        <v>45931</v>
      </c>
      <c r="G707" t="s">
        <v>19</v>
      </c>
      <c r="H707" s="2">
        <v>160142.18</v>
      </c>
      <c r="I707" s="2">
        <v>153022.09</v>
      </c>
      <c r="J707" s="2">
        <v>169408.95</v>
      </c>
      <c r="K707" s="2">
        <v>154137.82</v>
      </c>
      <c r="L707" s="2">
        <f t="shared" si="44"/>
        <v>-7120.0899999999965</v>
      </c>
      <c r="M707" s="4">
        <f t="shared" si="45"/>
        <v>-4.4461053296514362E-2</v>
      </c>
      <c r="N707" s="2">
        <f t="shared" si="46"/>
        <v>16386.860000000015</v>
      </c>
      <c r="O707" s="6">
        <f t="shared" si="47"/>
        <v>1.1070881988345604</v>
      </c>
    </row>
    <row r="708" spans="1:15" x14ac:dyDescent="0.2">
      <c r="A708" t="s">
        <v>36</v>
      </c>
      <c r="B708" t="s">
        <v>37</v>
      </c>
      <c r="C708" t="s">
        <v>13</v>
      </c>
      <c r="D708" t="s">
        <v>38</v>
      </c>
      <c r="E708" t="s">
        <v>39</v>
      </c>
      <c r="F708" s="1">
        <v>45931</v>
      </c>
      <c r="G708" t="s">
        <v>20</v>
      </c>
      <c r="H708" s="2">
        <v>38935.35</v>
      </c>
      <c r="I708" s="2">
        <v>38286.83</v>
      </c>
      <c r="J708" s="2">
        <v>40427.35</v>
      </c>
      <c r="K708" s="2">
        <v>38575.279999999999</v>
      </c>
      <c r="L708" s="2">
        <f t="shared" si="44"/>
        <v>-648.5199999999968</v>
      </c>
      <c r="M708" s="4">
        <f t="shared" si="45"/>
        <v>-1.6656329017204079E-2</v>
      </c>
      <c r="N708" s="2">
        <f t="shared" si="46"/>
        <v>2140.5199999999968</v>
      </c>
      <c r="O708" s="6">
        <f t="shared" si="47"/>
        <v>1.0559074752336508</v>
      </c>
    </row>
    <row r="709" spans="1:15" x14ac:dyDescent="0.2">
      <c r="A709" t="s">
        <v>36</v>
      </c>
      <c r="B709" t="s">
        <v>37</v>
      </c>
      <c r="C709" t="s">
        <v>13</v>
      </c>
      <c r="D709" t="s">
        <v>38</v>
      </c>
      <c r="E709" t="s">
        <v>39</v>
      </c>
      <c r="F709" s="1">
        <v>45931</v>
      </c>
      <c r="G709" t="s">
        <v>21</v>
      </c>
      <c r="H709" s="2">
        <v>58525.65</v>
      </c>
      <c r="I709" s="2">
        <v>55278.63</v>
      </c>
      <c r="J709" s="2">
        <v>60899.360000000001</v>
      </c>
      <c r="K709" s="2">
        <v>57226.62</v>
      </c>
      <c r="L709" s="2">
        <f t="shared" si="44"/>
        <v>-3247.0200000000041</v>
      </c>
      <c r="M709" s="4">
        <f t="shared" si="45"/>
        <v>-5.548028941156577E-2</v>
      </c>
      <c r="N709" s="2">
        <f t="shared" si="46"/>
        <v>5620.7300000000032</v>
      </c>
      <c r="O709" s="6">
        <f t="shared" si="47"/>
        <v>1.1016799801297537</v>
      </c>
    </row>
    <row r="710" spans="1:15" x14ac:dyDescent="0.2">
      <c r="A710" t="s">
        <v>36</v>
      </c>
      <c r="B710" t="s">
        <v>37</v>
      </c>
      <c r="C710" t="s">
        <v>13</v>
      </c>
      <c r="D710" t="s">
        <v>38</v>
      </c>
      <c r="E710" t="s">
        <v>39</v>
      </c>
      <c r="F710" s="1">
        <v>45962</v>
      </c>
      <c r="G710" t="s">
        <v>16</v>
      </c>
      <c r="H710" s="2">
        <v>350792.07</v>
      </c>
      <c r="I710" s="2">
        <v>334627.09999999998</v>
      </c>
      <c r="J710" s="2">
        <v>362717.1</v>
      </c>
      <c r="K710" s="2">
        <v>344310.81</v>
      </c>
      <c r="L710" s="2">
        <f t="shared" si="44"/>
        <v>-16164.97000000003</v>
      </c>
      <c r="M710" s="4">
        <f t="shared" si="45"/>
        <v>-4.6081343857060482E-2</v>
      </c>
      <c r="N710" s="2">
        <f t="shared" si="46"/>
        <v>28090</v>
      </c>
      <c r="O710" s="6">
        <f t="shared" si="47"/>
        <v>1.0839441874253459</v>
      </c>
    </row>
    <row r="711" spans="1:15" x14ac:dyDescent="0.2">
      <c r="A711" t="s">
        <v>36</v>
      </c>
      <c r="B711" t="s">
        <v>37</v>
      </c>
      <c r="C711" t="s">
        <v>13</v>
      </c>
      <c r="D711" t="s">
        <v>38</v>
      </c>
      <c r="E711" t="s">
        <v>39</v>
      </c>
      <c r="F711" s="1">
        <v>45962</v>
      </c>
      <c r="G711" t="s">
        <v>17</v>
      </c>
      <c r="H711" s="2">
        <v>291362.92</v>
      </c>
      <c r="I711" s="2">
        <v>281173.44</v>
      </c>
      <c r="J711" s="2">
        <v>289624.45</v>
      </c>
      <c r="K711" s="2">
        <v>286050.03000000003</v>
      </c>
      <c r="L711" s="2">
        <f t="shared" si="44"/>
        <v>-10189.479999999981</v>
      </c>
      <c r="M711" s="4">
        <f t="shared" si="45"/>
        <v>-3.4971780211428355E-2</v>
      </c>
      <c r="N711" s="2">
        <f t="shared" si="46"/>
        <v>8451.0100000000093</v>
      </c>
      <c r="O711" s="6">
        <f t="shared" si="47"/>
        <v>1.0300562172586429</v>
      </c>
    </row>
    <row r="712" spans="1:15" x14ac:dyDescent="0.2">
      <c r="A712" t="s">
        <v>36</v>
      </c>
      <c r="B712" t="s">
        <v>37</v>
      </c>
      <c r="C712" t="s">
        <v>13</v>
      </c>
      <c r="D712" t="s">
        <v>38</v>
      </c>
      <c r="E712" t="s">
        <v>39</v>
      </c>
      <c r="F712" s="1">
        <v>45962</v>
      </c>
      <c r="G712" t="s">
        <v>18</v>
      </c>
      <c r="H712" s="2">
        <v>220079.85</v>
      </c>
      <c r="I712" s="2">
        <v>208177.04</v>
      </c>
      <c r="J712" s="2">
        <v>222774.94</v>
      </c>
      <c r="K712" s="2">
        <v>214520.36</v>
      </c>
      <c r="L712" s="2">
        <f t="shared" si="44"/>
        <v>-11902.809999999998</v>
      </c>
      <c r="M712" s="4">
        <f t="shared" si="45"/>
        <v>-5.4084051765756827E-2</v>
      </c>
      <c r="N712" s="2">
        <f t="shared" si="46"/>
        <v>14597.899999999994</v>
      </c>
      <c r="O712" s="6">
        <f t="shared" si="47"/>
        <v>1.0701225264803458</v>
      </c>
    </row>
    <row r="713" spans="1:15" x14ac:dyDescent="0.2">
      <c r="A713" t="s">
        <v>36</v>
      </c>
      <c r="B713" t="s">
        <v>37</v>
      </c>
      <c r="C713" t="s">
        <v>13</v>
      </c>
      <c r="D713" t="s">
        <v>38</v>
      </c>
      <c r="E713" t="s">
        <v>39</v>
      </c>
      <c r="F713" s="1">
        <v>45962</v>
      </c>
      <c r="G713" t="s">
        <v>19</v>
      </c>
      <c r="H713" s="2">
        <v>167896.55</v>
      </c>
      <c r="I713" s="2">
        <v>155495.96</v>
      </c>
      <c r="J713" s="2">
        <v>177904.47</v>
      </c>
      <c r="K713" s="2">
        <v>162475.72</v>
      </c>
      <c r="L713" s="2">
        <f t="shared" si="44"/>
        <v>-12400.589999999997</v>
      </c>
      <c r="M713" s="4">
        <f t="shared" si="45"/>
        <v>-7.3858515853958862E-2</v>
      </c>
      <c r="N713" s="2">
        <f t="shared" si="46"/>
        <v>22408.510000000009</v>
      </c>
      <c r="O713" s="6">
        <f t="shared" si="47"/>
        <v>1.1441099177110454</v>
      </c>
    </row>
    <row r="714" spans="1:15" x14ac:dyDescent="0.2">
      <c r="A714" t="s">
        <v>36</v>
      </c>
      <c r="B714" t="s">
        <v>37</v>
      </c>
      <c r="C714" t="s">
        <v>13</v>
      </c>
      <c r="D714" t="s">
        <v>38</v>
      </c>
      <c r="E714" t="s">
        <v>39</v>
      </c>
      <c r="F714" s="1">
        <v>45962</v>
      </c>
      <c r="G714" t="s">
        <v>20</v>
      </c>
      <c r="H714" s="2">
        <v>40089.33</v>
      </c>
      <c r="I714" s="2">
        <v>37607.26</v>
      </c>
      <c r="J714" s="2">
        <v>40250.21</v>
      </c>
      <c r="K714" s="2">
        <v>39129.65</v>
      </c>
      <c r="L714" s="2">
        <f t="shared" si="44"/>
        <v>-2482.0699999999997</v>
      </c>
      <c r="M714" s="4">
        <f t="shared" si="45"/>
        <v>-6.1913481716955598E-2</v>
      </c>
      <c r="N714" s="2">
        <f t="shared" si="46"/>
        <v>2642.9499999999971</v>
      </c>
      <c r="O714" s="6">
        <f t="shared" si="47"/>
        <v>1.0702776538359879</v>
      </c>
    </row>
    <row r="715" spans="1:15" x14ac:dyDescent="0.2">
      <c r="A715" t="s">
        <v>36</v>
      </c>
      <c r="B715" t="s">
        <v>37</v>
      </c>
      <c r="C715" t="s">
        <v>13</v>
      </c>
      <c r="D715" t="s">
        <v>38</v>
      </c>
      <c r="E715" t="s">
        <v>39</v>
      </c>
      <c r="F715" s="1">
        <v>45962</v>
      </c>
      <c r="G715" t="s">
        <v>21</v>
      </c>
      <c r="H715" s="2">
        <v>62646.86</v>
      </c>
      <c r="I715" s="2">
        <v>61219.43</v>
      </c>
      <c r="J715" s="2">
        <v>61822.03</v>
      </c>
      <c r="K715" s="2">
        <v>61269.29</v>
      </c>
      <c r="L715" s="2">
        <f t="shared" si="44"/>
        <v>-1427.4300000000003</v>
      </c>
      <c r="M715" s="4">
        <f t="shared" si="45"/>
        <v>-2.2785339919670359E-2</v>
      </c>
      <c r="N715" s="2">
        <f t="shared" si="46"/>
        <v>602.59999999999854</v>
      </c>
      <c r="O715" s="6">
        <f t="shared" si="47"/>
        <v>1.0098432801481489</v>
      </c>
    </row>
    <row r="716" spans="1:15" x14ac:dyDescent="0.2">
      <c r="A716" t="s">
        <v>36</v>
      </c>
      <c r="B716" t="s">
        <v>37</v>
      </c>
      <c r="C716" t="s">
        <v>13</v>
      </c>
      <c r="D716" t="s">
        <v>38</v>
      </c>
      <c r="E716" t="s">
        <v>39</v>
      </c>
      <c r="F716" s="1">
        <v>45992</v>
      </c>
      <c r="G716" t="s">
        <v>16</v>
      </c>
      <c r="H716" s="2">
        <v>379465.44</v>
      </c>
      <c r="I716" s="2">
        <v>350779.08</v>
      </c>
      <c r="J716" s="2">
        <v>394611.8</v>
      </c>
      <c r="K716" s="2">
        <v>357829.54</v>
      </c>
      <c r="L716" s="2">
        <f t="shared" si="44"/>
        <v>-28686.359999999986</v>
      </c>
      <c r="M716" s="4">
        <f t="shared" si="45"/>
        <v>-7.5596765808237987E-2</v>
      </c>
      <c r="N716" s="2">
        <f t="shared" si="46"/>
        <v>43832.719999999972</v>
      </c>
      <c r="O716" s="6">
        <f t="shared" si="47"/>
        <v>1.1249581930598598</v>
      </c>
    </row>
    <row r="717" spans="1:15" x14ac:dyDescent="0.2">
      <c r="A717" t="s">
        <v>36</v>
      </c>
      <c r="B717" t="s">
        <v>37</v>
      </c>
      <c r="C717" t="s">
        <v>13</v>
      </c>
      <c r="D717" t="s">
        <v>38</v>
      </c>
      <c r="E717" t="s">
        <v>39</v>
      </c>
      <c r="F717" s="1">
        <v>45992</v>
      </c>
      <c r="G717" t="s">
        <v>17</v>
      </c>
      <c r="H717" s="2">
        <v>289303.98</v>
      </c>
      <c r="I717" s="2">
        <v>270304.94</v>
      </c>
      <c r="J717" s="2">
        <v>291215.08</v>
      </c>
      <c r="K717" s="2">
        <v>280806.14</v>
      </c>
      <c r="L717" s="2">
        <f t="shared" si="44"/>
        <v>-18999.039999999979</v>
      </c>
      <c r="M717" s="4">
        <f t="shared" si="45"/>
        <v>-6.5671547277019765E-2</v>
      </c>
      <c r="N717" s="2">
        <f t="shared" si="46"/>
        <v>20910.140000000014</v>
      </c>
      <c r="O717" s="6">
        <f t="shared" si="47"/>
        <v>1.0773575947224643</v>
      </c>
    </row>
    <row r="718" spans="1:15" x14ac:dyDescent="0.2">
      <c r="A718" t="s">
        <v>36</v>
      </c>
      <c r="B718" t="s">
        <v>37</v>
      </c>
      <c r="C718" t="s">
        <v>13</v>
      </c>
      <c r="D718" t="s">
        <v>38</v>
      </c>
      <c r="E718" t="s">
        <v>39</v>
      </c>
      <c r="F718" s="1">
        <v>45992</v>
      </c>
      <c r="G718" t="s">
        <v>18</v>
      </c>
      <c r="H718" s="2">
        <v>222066.94</v>
      </c>
      <c r="I718" s="2">
        <v>208822.09</v>
      </c>
      <c r="J718" s="2">
        <v>234917.98</v>
      </c>
      <c r="K718" s="2">
        <v>215760.11</v>
      </c>
      <c r="L718" s="2">
        <f t="shared" si="44"/>
        <v>-13244.850000000006</v>
      </c>
      <c r="M718" s="4">
        <f t="shared" si="45"/>
        <v>-5.9643502089955426E-2</v>
      </c>
      <c r="N718" s="2">
        <f t="shared" si="46"/>
        <v>26095.890000000014</v>
      </c>
      <c r="O718" s="6">
        <f t="shared" si="47"/>
        <v>1.1249670951957238</v>
      </c>
    </row>
    <row r="719" spans="1:15" x14ac:dyDescent="0.2">
      <c r="A719" t="s">
        <v>36</v>
      </c>
      <c r="B719" t="s">
        <v>37</v>
      </c>
      <c r="C719" t="s">
        <v>13</v>
      </c>
      <c r="D719" t="s">
        <v>38</v>
      </c>
      <c r="E719" t="s">
        <v>39</v>
      </c>
      <c r="F719" s="1">
        <v>45992</v>
      </c>
      <c r="G719" t="s">
        <v>19</v>
      </c>
      <c r="H719" s="2">
        <v>164111.46</v>
      </c>
      <c r="I719" s="2">
        <v>152392.01999999999</v>
      </c>
      <c r="J719" s="2">
        <v>166818.45000000001</v>
      </c>
      <c r="K719" s="2">
        <v>158516.56</v>
      </c>
      <c r="L719" s="2">
        <f t="shared" si="44"/>
        <v>-11719.440000000002</v>
      </c>
      <c r="M719" s="4">
        <f t="shared" si="45"/>
        <v>-7.1411466329042481E-2</v>
      </c>
      <c r="N719" s="2">
        <f t="shared" si="46"/>
        <v>14426.430000000022</v>
      </c>
      <c r="O719" s="6">
        <f t="shared" si="47"/>
        <v>1.0946665711236063</v>
      </c>
    </row>
    <row r="720" spans="1:15" x14ac:dyDescent="0.2">
      <c r="A720" t="s">
        <v>36</v>
      </c>
      <c r="B720" t="s">
        <v>37</v>
      </c>
      <c r="C720" t="s">
        <v>13</v>
      </c>
      <c r="D720" t="s">
        <v>38</v>
      </c>
      <c r="E720" t="s">
        <v>39</v>
      </c>
      <c r="F720" s="1">
        <v>45992</v>
      </c>
      <c r="G720" t="s">
        <v>20</v>
      </c>
      <c r="H720" s="2">
        <v>38157.599999999999</v>
      </c>
      <c r="I720" s="2">
        <v>35507.33</v>
      </c>
      <c r="J720" s="2">
        <v>38873.410000000003</v>
      </c>
      <c r="K720" s="2">
        <v>35980.620000000003</v>
      </c>
      <c r="L720" s="2">
        <f t="shared" si="44"/>
        <v>-2650.2699999999968</v>
      </c>
      <c r="M720" s="4">
        <f t="shared" si="45"/>
        <v>-6.9455888210998518E-2</v>
      </c>
      <c r="N720" s="2">
        <f t="shared" si="46"/>
        <v>3366.0800000000017</v>
      </c>
      <c r="O720" s="6">
        <f t="shared" si="47"/>
        <v>1.0947995808189463</v>
      </c>
    </row>
    <row r="721" spans="1:15" x14ac:dyDescent="0.2">
      <c r="A721" t="s">
        <v>36</v>
      </c>
      <c r="B721" t="s">
        <v>37</v>
      </c>
      <c r="C721" t="s">
        <v>13</v>
      </c>
      <c r="D721" t="s">
        <v>38</v>
      </c>
      <c r="E721" t="s">
        <v>39</v>
      </c>
      <c r="F721" s="1">
        <v>45992</v>
      </c>
      <c r="G721" t="s">
        <v>21</v>
      </c>
      <c r="H721" s="2">
        <v>60518.41</v>
      </c>
      <c r="I721" s="2">
        <v>57713.7</v>
      </c>
      <c r="J721" s="2">
        <v>61174.51</v>
      </c>
      <c r="K721" s="2">
        <v>59680.95</v>
      </c>
      <c r="L721" s="2">
        <f t="shared" si="44"/>
        <v>-2804.7100000000064</v>
      </c>
      <c r="M721" s="4">
        <f t="shared" si="45"/>
        <v>-4.6344740385611691E-2</v>
      </c>
      <c r="N721" s="2">
        <f t="shared" si="46"/>
        <v>3460.8100000000049</v>
      </c>
      <c r="O721" s="6">
        <f t="shared" si="47"/>
        <v>1.0599651382600666</v>
      </c>
    </row>
    <row r="722" spans="1:15" x14ac:dyDescent="0.2">
      <c r="A722" t="s">
        <v>40</v>
      </c>
      <c r="B722" t="s">
        <v>41</v>
      </c>
      <c r="C722" t="s">
        <v>33</v>
      </c>
      <c r="D722" t="s">
        <v>14</v>
      </c>
      <c r="E722" t="s">
        <v>42</v>
      </c>
      <c r="F722" s="1">
        <v>45292</v>
      </c>
      <c r="G722" t="s">
        <v>16</v>
      </c>
      <c r="H722" s="2">
        <v>438710.98</v>
      </c>
      <c r="I722" s="2">
        <v>444839.47</v>
      </c>
      <c r="J722" s="2">
        <v>425563.65</v>
      </c>
      <c r="K722" s="2">
        <v>443252.9</v>
      </c>
      <c r="L722" s="2">
        <f t="shared" si="44"/>
        <v>6128.4899999999907</v>
      </c>
      <c r="M722" s="4">
        <f t="shared" si="45"/>
        <v>1.3969310729355328E-2</v>
      </c>
      <c r="N722" s="2">
        <f t="shared" si="46"/>
        <v>-19275.819999999949</v>
      </c>
      <c r="O722" s="6">
        <f t="shared" si="47"/>
        <v>0.95666791887869129</v>
      </c>
    </row>
    <row r="723" spans="1:15" x14ac:dyDescent="0.2">
      <c r="A723" t="s">
        <v>40</v>
      </c>
      <c r="B723" t="s">
        <v>41</v>
      </c>
      <c r="C723" t="s">
        <v>33</v>
      </c>
      <c r="D723" t="s">
        <v>14</v>
      </c>
      <c r="E723" t="s">
        <v>42</v>
      </c>
      <c r="F723" s="1">
        <v>45292</v>
      </c>
      <c r="G723" t="s">
        <v>17</v>
      </c>
      <c r="H723" s="2">
        <v>345803.53</v>
      </c>
      <c r="I723" s="2">
        <v>336357.05</v>
      </c>
      <c r="J723" s="2">
        <v>342717.29</v>
      </c>
      <c r="K723" s="2">
        <v>343953.93</v>
      </c>
      <c r="L723" s="2">
        <f t="shared" si="44"/>
        <v>-9446.4800000000396</v>
      </c>
      <c r="M723" s="4">
        <f t="shared" si="45"/>
        <v>-2.7317477065662225E-2</v>
      </c>
      <c r="N723" s="2">
        <f t="shared" si="46"/>
        <v>6360.2399999999907</v>
      </c>
      <c r="O723" s="6">
        <f t="shared" si="47"/>
        <v>1.0189091918840409</v>
      </c>
    </row>
    <row r="724" spans="1:15" x14ac:dyDescent="0.2">
      <c r="A724" t="s">
        <v>40</v>
      </c>
      <c r="B724" t="s">
        <v>41</v>
      </c>
      <c r="C724" t="s">
        <v>33</v>
      </c>
      <c r="D724" t="s">
        <v>14</v>
      </c>
      <c r="E724" t="s">
        <v>42</v>
      </c>
      <c r="F724" s="1">
        <v>45292</v>
      </c>
      <c r="G724" t="s">
        <v>18</v>
      </c>
      <c r="H724" s="2">
        <v>282234.73</v>
      </c>
      <c r="I724" s="2">
        <v>278230.64</v>
      </c>
      <c r="J724" s="2">
        <v>274799.28000000003</v>
      </c>
      <c r="K724" s="2">
        <v>280911.82</v>
      </c>
      <c r="L724" s="2">
        <f t="shared" si="44"/>
        <v>-4004.0899999999674</v>
      </c>
      <c r="M724" s="4">
        <f t="shared" si="45"/>
        <v>-1.4187091716175283E-2</v>
      </c>
      <c r="N724" s="2">
        <f t="shared" si="46"/>
        <v>-3431.359999999986</v>
      </c>
      <c r="O724" s="6">
        <f t="shared" si="47"/>
        <v>0.9876672101965478</v>
      </c>
    </row>
    <row r="725" spans="1:15" x14ac:dyDescent="0.2">
      <c r="A725" t="s">
        <v>40</v>
      </c>
      <c r="B725" t="s">
        <v>41</v>
      </c>
      <c r="C725" t="s">
        <v>33</v>
      </c>
      <c r="D725" t="s">
        <v>14</v>
      </c>
      <c r="E725" t="s">
        <v>42</v>
      </c>
      <c r="F725" s="1">
        <v>45292</v>
      </c>
      <c r="G725" t="s">
        <v>19</v>
      </c>
      <c r="H725" s="2">
        <v>208057.72</v>
      </c>
      <c r="I725" s="2">
        <v>206590.88</v>
      </c>
      <c r="J725" s="2">
        <v>210247.76</v>
      </c>
      <c r="K725" s="2">
        <v>210158.12</v>
      </c>
      <c r="L725" s="2">
        <f t="shared" si="44"/>
        <v>-1466.8399999999965</v>
      </c>
      <c r="M725" s="4">
        <f t="shared" si="45"/>
        <v>-7.050158965502441E-3</v>
      </c>
      <c r="N725" s="2">
        <f t="shared" si="46"/>
        <v>3656.8800000000047</v>
      </c>
      <c r="O725" s="6">
        <f t="shared" si="47"/>
        <v>1.017701071799491</v>
      </c>
    </row>
    <row r="726" spans="1:15" x14ac:dyDescent="0.2">
      <c r="A726" t="s">
        <v>40</v>
      </c>
      <c r="B726" t="s">
        <v>41</v>
      </c>
      <c r="C726" t="s">
        <v>33</v>
      </c>
      <c r="D726" t="s">
        <v>14</v>
      </c>
      <c r="E726" t="s">
        <v>42</v>
      </c>
      <c r="F726" s="1">
        <v>45292</v>
      </c>
      <c r="G726" t="s">
        <v>20</v>
      </c>
      <c r="H726" s="2">
        <v>48721.36</v>
      </c>
      <c r="I726" s="2">
        <v>48130.13</v>
      </c>
      <c r="J726" s="2">
        <v>49914.48</v>
      </c>
      <c r="K726" s="2">
        <v>49024.44</v>
      </c>
      <c r="L726" s="2">
        <f t="shared" si="44"/>
        <v>-591.2300000000032</v>
      </c>
      <c r="M726" s="4">
        <f t="shared" si="45"/>
        <v>-1.2134923984059624E-2</v>
      </c>
      <c r="N726" s="2">
        <f t="shared" si="46"/>
        <v>1784.3500000000058</v>
      </c>
      <c r="O726" s="6">
        <f t="shared" si="47"/>
        <v>1.0370734506638566</v>
      </c>
    </row>
    <row r="727" spans="1:15" x14ac:dyDescent="0.2">
      <c r="A727" t="s">
        <v>40</v>
      </c>
      <c r="B727" t="s">
        <v>41</v>
      </c>
      <c r="C727" t="s">
        <v>33</v>
      </c>
      <c r="D727" t="s">
        <v>14</v>
      </c>
      <c r="E727" t="s">
        <v>42</v>
      </c>
      <c r="F727" s="1">
        <v>45292</v>
      </c>
      <c r="G727" t="s">
        <v>21</v>
      </c>
      <c r="H727" s="2">
        <v>72547.240000000005</v>
      </c>
      <c r="I727" s="2">
        <v>73014.11</v>
      </c>
      <c r="J727" s="2">
        <v>73304.84</v>
      </c>
      <c r="K727" s="2">
        <v>73804.47</v>
      </c>
      <c r="L727" s="2">
        <f t="shared" si="44"/>
        <v>466.86999999999534</v>
      </c>
      <c r="M727" s="4">
        <f t="shared" si="45"/>
        <v>6.4353929935859078E-3</v>
      </c>
      <c r="N727" s="2">
        <f t="shared" si="46"/>
        <v>290.72999999999593</v>
      </c>
      <c r="O727" s="6">
        <f t="shared" si="47"/>
        <v>1.0039818331004788</v>
      </c>
    </row>
    <row r="728" spans="1:15" x14ac:dyDescent="0.2">
      <c r="A728" t="s">
        <v>40</v>
      </c>
      <c r="B728" t="s">
        <v>41</v>
      </c>
      <c r="C728" t="s">
        <v>33</v>
      </c>
      <c r="D728" t="s">
        <v>14</v>
      </c>
      <c r="E728" t="s">
        <v>42</v>
      </c>
      <c r="F728" s="1">
        <v>45323</v>
      </c>
      <c r="G728" t="s">
        <v>16</v>
      </c>
      <c r="H728" s="2">
        <v>466621.06</v>
      </c>
      <c r="I728" s="2">
        <v>480069.27</v>
      </c>
      <c r="J728" s="2">
        <v>466982.11</v>
      </c>
      <c r="K728" s="2">
        <v>483580.93</v>
      </c>
      <c r="L728" s="2">
        <f t="shared" si="44"/>
        <v>13448.210000000021</v>
      </c>
      <c r="M728" s="4">
        <f t="shared" si="45"/>
        <v>2.8820409434584932E-2</v>
      </c>
      <c r="N728" s="2">
        <f t="shared" si="46"/>
        <v>-13087.160000000033</v>
      </c>
      <c r="O728" s="6">
        <f t="shared" si="47"/>
        <v>0.9727390174338798</v>
      </c>
    </row>
    <row r="729" spans="1:15" x14ac:dyDescent="0.2">
      <c r="A729" t="s">
        <v>40</v>
      </c>
      <c r="B729" t="s">
        <v>41</v>
      </c>
      <c r="C729" t="s">
        <v>33</v>
      </c>
      <c r="D729" t="s">
        <v>14</v>
      </c>
      <c r="E729" t="s">
        <v>42</v>
      </c>
      <c r="F729" s="1">
        <v>45323</v>
      </c>
      <c r="G729" t="s">
        <v>17</v>
      </c>
      <c r="H729" s="2">
        <v>348587.72</v>
      </c>
      <c r="I729" s="2">
        <v>343674.67</v>
      </c>
      <c r="J729" s="2">
        <v>343840.71</v>
      </c>
      <c r="K729" s="2">
        <v>346505.31</v>
      </c>
      <c r="L729" s="2">
        <f t="shared" si="44"/>
        <v>-4913.0499999999884</v>
      </c>
      <c r="M729" s="4">
        <f t="shared" si="45"/>
        <v>-1.4094156845226758E-2</v>
      </c>
      <c r="N729" s="2">
        <f t="shared" si="46"/>
        <v>166.04000000003725</v>
      </c>
      <c r="O729" s="6">
        <f t="shared" si="47"/>
        <v>1.0004831313288234</v>
      </c>
    </row>
    <row r="730" spans="1:15" x14ac:dyDescent="0.2">
      <c r="A730" t="s">
        <v>40</v>
      </c>
      <c r="B730" t="s">
        <v>41</v>
      </c>
      <c r="C730" t="s">
        <v>33</v>
      </c>
      <c r="D730" t="s">
        <v>14</v>
      </c>
      <c r="E730" t="s">
        <v>42</v>
      </c>
      <c r="F730" s="1">
        <v>45323</v>
      </c>
      <c r="G730" t="s">
        <v>18</v>
      </c>
      <c r="H730" s="2">
        <v>269691.09999999998</v>
      </c>
      <c r="I730" s="2">
        <v>264039.13</v>
      </c>
      <c r="J730" s="2">
        <v>274821.26</v>
      </c>
      <c r="K730" s="2">
        <v>268273.98</v>
      </c>
      <c r="L730" s="2">
        <f t="shared" si="44"/>
        <v>-5651.9699999999721</v>
      </c>
      <c r="M730" s="4">
        <f t="shared" si="45"/>
        <v>-2.0957198810045909E-2</v>
      </c>
      <c r="N730" s="2">
        <f t="shared" si="46"/>
        <v>10782.130000000005</v>
      </c>
      <c r="O730" s="6">
        <f t="shared" si="47"/>
        <v>1.04083534891211</v>
      </c>
    </row>
    <row r="731" spans="1:15" x14ac:dyDescent="0.2">
      <c r="A731" t="s">
        <v>40</v>
      </c>
      <c r="B731" t="s">
        <v>41</v>
      </c>
      <c r="C731" t="s">
        <v>33</v>
      </c>
      <c r="D731" t="s">
        <v>14</v>
      </c>
      <c r="E731" t="s">
        <v>42</v>
      </c>
      <c r="F731" s="1">
        <v>45323</v>
      </c>
      <c r="G731" t="s">
        <v>19</v>
      </c>
      <c r="H731" s="2">
        <v>201764.74</v>
      </c>
      <c r="I731" s="2">
        <v>207007.03</v>
      </c>
      <c r="J731" s="2">
        <v>200329.55</v>
      </c>
      <c r="K731" s="2">
        <v>203397.61</v>
      </c>
      <c r="L731" s="2">
        <f t="shared" si="44"/>
        <v>5242.2900000000081</v>
      </c>
      <c r="M731" s="4">
        <f t="shared" si="45"/>
        <v>2.5982190941786994E-2</v>
      </c>
      <c r="N731" s="2">
        <f t="shared" si="46"/>
        <v>-6677.4800000000105</v>
      </c>
      <c r="O731" s="6">
        <f t="shared" si="47"/>
        <v>0.96774273801232735</v>
      </c>
    </row>
    <row r="732" spans="1:15" x14ac:dyDescent="0.2">
      <c r="A732" t="s">
        <v>40</v>
      </c>
      <c r="B732" t="s">
        <v>41</v>
      </c>
      <c r="C732" t="s">
        <v>33</v>
      </c>
      <c r="D732" t="s">
        <v>14</v>
      </c>
      <c r="E732" t="s">
        <v>42</v>
      </c>
      <c r="F732" s="1">
        <v>45323</v>
      </c>
      <c r="G732" t="s">
        <v>20</v>
      </c>
      <c r="H732" s="2">
        <v>48913.58</v>
      </c>
      <c r="I732" s="2">
        <v>47699.01</v>
      </c>
      <c r="J732" s="2">
        <v>49780.38</v>
      </c>
      <c r="K732" s="2">
        <v>48848.38</v>
      </c>
      <c r="L732" s="2">
        <f t="shared" si="44"/>
        <v>-1214.5699999999997</v>
      </c>
      <c r="M732" s="4">
        <f t="shared" si="45"/>
        <v>-2.4830936521105174E-2</v>
      </c>
      <c r="N732" s="2">
        <f t="shared" si="46"/>
        <v>2081.3699999999953</v>
      </c>
      <c r="O732" s="6">
        <f t="shared" si="47"/>
        <v>1.0436354968373556</v>
      </c>
    </row>
    <row r="733" spans="1:15" x14ac:dyDescent="0.2">
      <c r="A733" t="s">
        <v>40</v>
      </c>
      <c r="B733" t="s">
        <v>41</v>
      </c>
      <c r="C733" t="s">
        <v>33</v>
      </c>
      <c r="D733" t="s">
        <v>14</v>
      </c>
      <c r="E733" t="s">
        <v>42</v>
      </c>
      <c r="F733" s="1">
        <v>45323</v>
      </c>
      <c r="G733" t="s">
        <v>21</v>
      </c>
      <c r="H733" s="2">
        <v>77677.34</v>
      </c>
      <c r="I733" s="2">
        <v>76137.23</v>
      </c>
      <c r="J733" s="2">
        <v>75501.94</v>
      </c>
      <c r="K733" s="2">
        <v>77112.649999999994</v>
      </c>
      <c r="L733" s="2">
        <f t="shared" si="44"/>
        <v>-1540.1100000000006</v>
      </c>
      <c r="M733" s="4">
        <f t="shared" si="45"/>
        <v>-1.982701776348161E-2</v>
      </c>
      <c r="N733" s="2">
        <f t="shared" si="46"/>
        <v>-635.2899999999936</v>
      </c>
      <c r="O733" s="6">
        <f t="shared" si="47"/>
        <v>0.99165598748470374</v>
      </c>
    </row>
    <row r="734" spans="1:15" x14ac:dyDescent="0.2">
      <c r="A734" t="s">
        <v>40</v>
      </c>
      <c r="B734" t="s">
        <v>41</v>
      </c>
      <c r="C734" t="s">
        <v>33</v>
      </c>
      <c r="D734" t="s">
        <v>14</v>
      </c>
      <c r="E734" t="s">
        <v>42</v>
      </c>
      <c r="F734" s="1">
        <v>45352</v>
      </c>
      <c r="G734" t="s">
        <v>16</v>
      </c>
      <c r="H734" s="2">
        <v>447233.84</v>
      </c>
      <c r="I734" s="2">
        <v>459017.16</v>
      </c>
      <c r="J734" s="2">
        <v>436978.15</v>
      </c>
      <c r="K734" s="2">
        <v>449751.36</v>
      </c>
      <c r="L734" s="2">
        <f t="shared" si="44"/>
        <v>11783.319999999949</v>
      </c>
      <c r="M734" s="4">
        <f t="shared" si="45"/>
        <v>2.6347111837512E-2</v>
      </c>
      <c r="N734" s="2">
        <f t="shared" si="46"/>
        <v>-22039.009999999951</v>
      </c>
      <c r="O734" s="6">
        <f t="shared" si="47"/>
        <v>0.95198652268250727</v>
      </c>
    </row>
    <row r="735" spans="1:15" x14ac:dyDescent="0.2">
      <c r="A735" t="s">
        <v>40</v>
      </c>
      <c r="B735" t="s">
        <v>41</v>
      </c>
      <c r="C735" t="s">
        <v>33</v>
      </c>
      <c r="D735" t="s">
        <v>14</v>
      </c>
      <c r="E735" t="s">
        <v>42</v>
      </c>
      <c r="F735" s="1">
        <v>45352</v>
      </c>
      <c r="G735" t="s">
        <v>17</v>
      </c>
      <c r="H735" s="2">
        <v>365979.77</v>
      </c>
      <c r="I735" s="2">
        <v>362991.16</v>
      </c>
      <c r="J735" s="2">
        <v>361021.29</v>
      </c>
      <c r="K735" s="2">
        <v>366012.67</v>
      </c>
      <c r="L735" s="2">
        <f t="shared" si="44"/>
        <v>-2988.6100000000442</v>
      </c>
      <c r="M735" s="4">
        <f t="shared" si="45"/>
        <v>-8.1660524569433009E-3</v>
      </c>
      <c r="N735" s="2">
        <f t="shared" si="46"/>
        <v>-1969.8699999999953</v>
      </c>
      <c r="O735" s="6">
        <f t="shared" si="47"/>
        <v>0.99457322872545983</v>
      </c>
    </row>
    <row r="736" spans="1:15" x14ac:dyDescent="0.2">
      <c r="A736" t="s">
        <v>40</v>
      </c>
      <c r="B736" t="s">
        <v>41</v>
      </c>
      <c r="C736" t="s">
        <v>33</v>
      </c>
      <c r="D736" t="s">
        <v>14</v>
      </c>
      <c r="E736" t="s">
        <v>42</v>
      </c>
      <c r="F736" s="1">
        <v>45352</v>
      </c>
      <c r="G736" t="s">
        <v>18</v>
      </c>
      <c r="H736" s="2">
        <v>272603.44</v>
      </c>
      <c r="I736" s="2">
        <v>269784.55</v>
      </c>
      <c r="J736" s="2">
        <v>268815.34000000003</v>
      </c>
      <c r="K736" s="2">
        <v>272197.46999999997</v>
      </c>
      <c r="L736" s="2">
        <f t="shared" si="44"/>
        <v>-2818.890000000014</v>
      </c>
      <c r="M736" s="4">
        <f t="shared" si="45"/>
        <v>-1.0340625195338746E-2</v>
      </c>
      <c r="N736" s="2">
        <f t="shared" si="46"/>
        <v>-969.20999999996275</v>
      </c>
      <c r="O736" s="6">
        <f t="shared" si="47"/>
        <v>0.99640746662475677</v>
      </c>
    </row>
    <row r="737" spans="1:15" x14ac:dyDescent="0.2">
      <c r="A737" t="s">
        <v>40</v>
      </c>
      <c r="B737" t="s">
        <v>41</v>
      </c>
      <c r="C737" t="s">
        <v>33</v>
      </c>
      <c r="D737" t="s">
        <v>14</v>
      </c>
      <c r="E737" t="s">
        <v>42</v>
      </c>
      <c r="F737" s="1">
        <v>45352</v>
      </c>
      <c r="G737" t="s">
        <v>19</v>
      </c>
      <c r="H737" s="2">
        <v>206755.08</v>
      </c>
      <c r="I737" s="2">
        <v>206143.31</v>
      </c>
      <c r="J737" s="2">
        <v>206748.68</v>
      </c>
      <c r="K737" s="2">
        <v>204823.22</v>
      </c>
      <c r="L737" s="2">
        <f t="shared" si="44"/>
        <v>-611.76999999998952</v>
      </c>
      <c r="M737" s="4">
        <f t="shared" si="45"/>
        <v>-2.958911577892014E-3</v>
      </c>
      <c r="N737" s="2">
        <f t="shared" si="46"/>
        <v>605.36999999999534</v>
      </c>
      <c r="O737" s="6">
        <f t="shared" si="47"/>
        <v>1.0029366463553921</v>
      </c>
    </row>
    <row r="738" spans="1:15" x14ac:dyDescent="0.2">
      <c r="A738" t="s">
        <v>40</v>
      </c>
      <c r="B738" t="s">
        <v>41</v>
      </c>
      <c r="C738" t="s">
        <v>33</v>
      </c>
      <c r="D738" t="s">
        <v>14</v>
      </c>
      <c r="E738" t="s">
        <v>42</v>
      </c>
      <c r="F738" s="1">
        <v>45352</v>
      </c>
      <c r="G738" t="s">
        <v>20</v>
      </c>
      <c r="H738" s="2">
        <v>50653.16</v>
      </c>
      <c r="I738" s="2">
        <v>50506.07</v>
      </c>
      <c r="J738" s="2">
        <v>51612.56</v>
      </c>
      <c r="K738" s="2">
        <v>51042.46</v>
      </c>
      <c r="L738" s="2">
        <f t="shared" si="44"/>
        <v>-147.09000000000378</v>
      </c>
      <c r="M738" s="4">
        <f t="shared" si="45"/>
        <v>-2.9038662148620892E-3</v>
      </c>
      <c r="N738" s="2">
        <f t="shared" si="46"/>
        <v>1106.489999999998</v>
      </c>
      <c r="O738" s="6">
        <f t="shared" si="47"/>
        <v>1.0219080597639056</v>
      </c>
    </row>
    <row r="739" spans="1:15" x14ac:dyDescent="0.2">
      <c r="A739" t="s">
        <v>40</v>
      </c>
      <c r="B739" t="s">
        <v>41</v>
      </c>
      <c r="C739" t="s">
        <v>33</v>
      </c>
      <c r="D739" t="s">
        <v>14</v>
      </c>
      <c r="E739" t="s">
        <v>42</v>
      </c>
      <c r="F739" s="1">
        <v>45352</v>
      </c>
      <c r="G739" t="s">
        <v>21</v>
      </c>
      <c r="H739" s="2">
        <v>77354.63</v>
      </c>
      <c r="I739" s="2">
        <v>76708.95</v>
      </c>
      <c r="J739" s="2">
        <v>77895.539999999994</v>
      </c>
      <c r="K739" s="2">
        <v>76460.09</v>
      </c>
      <c r="L739" s="2">
        <f t="shared" si="44"/>
        <v>-645.68000000000757</v>
      </c>
      <c r="M739" s="4">
        <f t="shared" si="45"/>
        <v>-8.3470116785512062E-3</v>
      </c>
      <c r="N739" s="2">
        <f t="shared" si="46"/>
        <v>1186.5899999999965</v>
      </c>
      <c r="O739" s="6">
        <f t="shared" si="47"/>
        <v>1.0154687295289533</v>
      </c>
    </row>
    <row r="740" spans="1:15" x14ac:dyDescent="0.2">
      <c r="A740" t="s">
        <v>40</v>
      </c>
      <c r="B740" t="s">
        <v>41</v>
      </c>
      <c r="C740" t="s">
        <v>33</v>
      </c>
      <c r="D740" t="s">
        <v>14</v>
      </c>
      <c r="E740" t="s">
        <v>42</v>
      </c>
      <c r="F740" s="1">
        <v>45383</v>
      </c>
      <c r="G740" t="s">
        <v>16</v>
      </c>
      <c r="H740" s="2">
        <v>477934.15</v>
      </c>
      <c r="I740" s="2">
        <v>475531.03</v>
      </c>
      <c r="J740" s="2">
        <v>465571.69</v>
      </c>
      <c r="K740" s="2">
        <v>475114.57</v>
      </c>
      <c r="L740" s="2">
        <f t="shared" si="44"/>
        <v>-2403.1199999999953</v>
      </c>
      <c r="M740" s="4">
        <f t="shared" si="45"/>
        <v>-5.0281403829376811E-3</v>
      </c>
      <c r="N740" s="2">
        <f t="shared" si="46"/>
        <v>-9959.3400000000256</v>
      </c>
      <c r="O740" s="6">
        <f t="shared" si="47"/>
        <v>0.97905638250357707</v>
      </c>
    </row>
    <row r="741" spans="1:15" x14ac:dyDescent="0.2">
      <c r="A741" t="s">
        <v>40</v>
      </c>
      <c r="B741" t="s">
        <v>41</v>
      </c>
      <c r="C741" t="s">
        <v>33</v>
      </c>
      <c r="D741" t="s">
        <v>14</v>
      </c>
      <c r="E741" t="s">
        <v>42</v>
      </c>
      <c r="F741" s="1">
        <v>45383</v>
      </c>
      <c r="G741" t="s">
        <v>17</v>
      </c>
      <c r="H741" s="2">
        <v>358464.49</v>
      </c>
      <c r="I741" s="2">
        <v>348022.65</v>
      </c>
      <c r="J741" s="2">
        <v>358973.06</v>
      </c>
      <c r="K741" s="2">
        <v>350191.58</v>
      </c>
      <c r="L741" s="2">
        <f t="shared" si="44"/>
        <v>-10441.839999999967</v>
      </c>
      <c r="M741" s="4">
        <f t="shared" si="45"/>
        <v>-2.9129356718150708E-2</v>
      </c>
      <c r="N741" s="2">
        <f t="shared" si="46"/>
        <v>10950.409999999974</v>
      </c>
      <c r="O741" s="6">
        <f t="shared" si="47"/>
        <v>1.0314646474877425</v>
      </c>
    </row>
    <row r="742" spans="1:15" x14ac:dyDescent="0.2">
      <c r="A742" t="s">
        <v>40</v>
      </c>
      <c r="B742" t="s">
        <v>41</v>
      </c>
      <c r="C742" t="s">
        <v>33</v>
      </c>
      <c r="D742" t="s">
        <v>14</v>
      </c>
      <c r="E742" t="s">
        <v>42</v>
      </c>
      <c r="F742" s="1">
        <v>45383</v>
      </c>
      <c r="G742" t="s">
        <v>18</v>
      </c>
      <c r="H742" s="2">
        <v>281254.21000000002</v>
      </c>
      <c r="I742" s="2">
        <v>273177.3</v>
      </c>
      <c r="J742" s="2">
        <v>287713.8</v>
      </c>
      <c r="K742" s="2">
        <v>274881.46000000002</v>
      </c>
      <c r="L742" s="2">
        <f t="shared" si="44"/>
        <v>-8076.9100000000326</v>
      </c>
      <c r="M742" s="4">
        <f t="shared" si="45"/>
        <v>-2.8717472353569504E-2</v>
      </c>
      <c r="N742" s="2">
        <f t="shared" si="46"/>
        <v>14536.5</v>
      </c>
      <c r="O742" s="6">
        <f t="shared" si="47"/>
        <v>1.0532126937340693</v>
      </c>
    </row>
    <row r="743" spans="1:15" x14ac:dyDescent="0.2">
      <c r="A743" t="s">
        <v>40</v>
      </c>
      <c r="B743" t="s">
        <v>41</v>
      </c>
      <c r="C743" t="s">
        <v>33</v>
      </c>
      <c r="D743" t="s">
        <v>14</v>
      </c>
      <c r="E743" t="s">
        <v>42</v>
      </c>
      <c r="F743" s="1">
        <v>45383</v>
      </c>
      <c r="G743" t="s">
        <v>19</v>
      </c>
      <c r="H743" s="2">
        <v>209197.51</v>
      </c>
      <c r="I743" s="2">
        <v>212306.32</v>
      </c>
      <c r="J743" s="2">
        <v>210736.14</v>
      </c>
      <c r="K743" s="2">
        <v>214659.94</v>
      </c>
      <c r="L743" s="2">
        <f t="shared" si="44"/>
        <v>3108.8099999999977</v>
      </c>
      <c r="M743" s="4">
        <f t="shared" si="45"/>
        <v>1.486064532986075E-2</v>
      </c>
      <c r="N743" s="2">
        <f t="shared" si="46"/>
        <v>-1570.179999999993</v>
      </c>
      <c r="O743" s="6">
        <f t="shared" si="47"/>
        <v>0.99260417683279523</v>
      </c>
    </row>
    <row r="744" spans="1:15" x14ac:dyDescent="0.2">
      <c r="A744" t="s">
        <v>40</v>
      </c>
      <c r="B744" t="s">
        <v>41</v>
      </c>
      <c r="C744" t="s">
        <v>33</v>
      </c>
      <c r="D744" t="s">
        <v>14</v>
      </c>
      <c r="E744" t="s">
        <v>42</v>
      </c>
      <c r="F744" s="1">
        <v>45383</v>
      </c>
      <c r="G744" t="s">
        <v>20</v>
      </c>
      <c r="H744" s="2">
        <v>48472.76</v>
      </c>
      <c r="I744" s="2">
        <v>48264.11</v>
      </c>
      <c r="J744" s="2">
        <v>49508.13</v>
      </c>
      <c r="K744" s="2">
        <v>48206.75</v>
      </c>
      <c r="L744" s="2">
        <f t="shared" si="44"/>
        <v>-208.65000000000146</v>
      </c>
      <c r="M744" s="4">
        <f t="shared" si="45"/>
        <v>-4.3044794643424767E-3</v>
      </c>
      <c r="N744" s="2">
        <f t="shared" si="46"/>
        <v>1244.0199999999968</v>
      </c>
      <c r="O744" s="6">
        <f t="shared" si="47"/>
        <v>1.0257752603331958</v>
      </c>
    </row>
    <row r="745" spans="1:15" x14ac:dyDescent="0.2">
      <c r="A745" t="s">
        <v>40</v>
      </c>
      <c r="B745" t="s">
        <v>41</v>
      </c>
      <c r="C745" t="s">
        <v>33</v>
      </c>
      <c r="D745" t="s">
        <v>14</v>
      </c>
      <c r="E745" t="s">
        <v>42</v>
      </c>
      <c r="F745" s="1">
        <v>45383</v>
      </c>
      <c r="G745" t="s">
        <v>21</v>
      </c>
      <c r="H745" s="2">
        <v>75725</v>
      </c>
      <c r="I745" s="2">
        <v>77379.600000000006</v>
      </c>
      <c r="J745" s="2">
        <v>73957.179999999993</v>
      </c>
      <c r="K745" s="2">
        <v>78079.59</v>
      </c>
      <c r="L745" s="2">
        <f t="shared" si="44"/>
        <v>1654.6000000000058</v>
      </c>
      <c r="M745" s="4">
        <f t="shared" si="45"/>
        <v>2.1850115549686442E-2</v>
      </c>
      <c r="N745" s="2">
        <f t="shared" si="46"/>
        <v>-3422.4200000000128</v>
      </c>
      <c r="O745" s="6">
        <f t="shared" si="47"/>
        <v>0.95577103009061803</v>
      </c>
    </row>
    <row r="746" spans="1:15" x14ac:dyDescent="0.2">
      <c r="A746" t="s">
        <v>40</v>
      </c>
      <c r="B746" t="s">
        <v>41</v>
      </c>
      <c r="C746" t="s">
        <v>33</v>
      </c>
      <c r="D746" t="s">
        <v>14</v>
      </c>
      <c r="E746" t="s">
        <v>42</v>
      </c>
      <c r="F746" s="1">
        <v>45413</v>
      </c>
      <c r="G746" t="s">
        <v>16</v>
      </c>
      <c r="H746" s="2">
        <v>465829.01</v>
      </c>
      <c r="I746" s="2">
        <v>451549.22</v>
      </c>
      <c r="J746" s="2">
        <v>479788.3</v>
      </c>
      <c r="K746" s="2">
        <v>451529.7</v>
      </c>
      <c r="L746" s="2">
        <f t="shared" si="44"/>
        <v>-14279.790000000037</v>
      </c>
      <c r="M746" s="4">
        <f t="shared" si="45"/>
        <v>-3.0654574303992009E-2</v>
      </c>
      <c r="N746" s="2">
        <f t="shared" si="46"/>
        <v>28239.080000000016</v>
      </c>
      <c r="O746" s="6">
        <f t="shared" si="47"/>
        <v>1.0625382101202612</v>
      </c>
    </row>
    <row r="747" spans="1:15" x14ac:dyDescent="0.2">
      <c r="A747" t="s">
        <v>40</v>
      </c>
      <c r="B747" t="s">
        <v>41</v>
      </c>
      <c r="C747" t="s">
        <v>33</v>
      </c>
      <c r="D747" t="s">
        <v>14</v>
      </c>
      <c r="E747" t="s">
        <v>42</v>
      </c>
      <c r="F747" s="1">
        <v>45413</v>
      </c>
      <c r="G747" t="s">
        <v>17</v>
      </c>
      <c r="H747" s="2">
        <v>372103.59</v>
      </c>
      <c r="I747" s="2">
        <v>374381.7</v>
      </c>
      <c r="J747" s="2">
        <v>382165.57</v>
      </c>
      <c r="K747" s="2">
        <v>375534.04</v>
      </c>
      <c r="L747" s="2">
        <f t="shared" si="44"/>
        <v>2278.109999999986</v>
      </c>
      <c r="M747" s="4">
        <f t="shared" si="45"/>
        <v>6.1222467646710578E-3</v>
      </c>
      <c r="N747" s="2">
        <f t="shared" si="46"/>
        <v>7783.8699999999953</v>
      </c>
      <c r="O747" s="6">
        <f t="shared" si="47"/>
        <v>1.0207912673082045</v>
      </c>
    </row>
    <row r="748" spans="1:15" x14ac:dyDescent="0.2">
      <c r="A748" t="s">
        <v>40</v>
      </c>
      <c r="B748" t="s">
        <v>41</v>
      </c>
      <c r="C748" t="s">
        <v>33</v>
      </c>
      <c r="D748" t="s">
        <v>14</v>
      </c>
      <c r="E748" t="s">
        <v>42</v>
      </c>
      <c r="F748" s="1">
        <v>45413</v>
      </c>
      <c r="G748" t="s">
        <v>18</v>
      </c>
      <c r="H748" s="2">
        <v>278988.98</v>
      </c>
      <c r="I748" s="2">
        <v>272441.93</v>
      </c>
      <c r="J748" s="2">
        <v>282718.98</v>
      </c>
      <c r="K748" s="2">
        <v>279049.42</v>
      </c>
      <c r="L748" s="2">
        <f t="shared" si="44"/>
        <v>-6547.0499999999884</v>
      </c>
      <c r="M748" s="4">
        <f t="shared" si="45"/>
        <v>-2.3467055938911956E-2</v>
      </c>
      <c r="N748" s="2">
        <f t="shared" si="46"/>
        <v>10277.049999999988</v>
      </c>
      <c r="O748" s="6">
        <f t="shared" si="47"/>
        <v>1.0377219835434288</v>
      </c>
    </row>
    <row r="749" spans="1:15" x14ac:dyDescent="0.2">
      <c r="A749" t="s">
        <v>40</v>
      </c>
      <c r="B749" t="s">
        <v>41</v>
      </c>
      <c r="C749" t="s">
        <v>33</v>
      </c>
      <c r="D749" t="s">
        <v>14</v>
      </c>
      <c r="E749" t="s">
        <v>42</v>
      </c>
      <c r="F749" s="1">
        <v>45413</v>
      </c>
      <c r="G749" t="s">
        <v>19</v>
      </c>
      <c r="H749" s="2">
        <v>214884.79</v>
      </c>
      <c r="I749" s="2">
        <v>212496.96</v>
      </c>
      <c r="J749" s="2">
        <v>214435.8</v>
      </c>
      <c r="K749" s="2">
        <v>215880.21</v>
      </c>
      <c r="L749" s="2">
        <f t="shared" si="44"/>
        <v>-2387.8300000000163</v>
      </c>
      <c r="M749" s="4">
        <f t="shared" si="45"/>
        <v>-1.1112140603343848E-2</v>
      </c>
      <c r="N749" s="2">
        <f t="shared" si="46"/>
        <v>1938.8399999999965</v>
      </c>
      <c r="O749" s="6">
        <f t="shared" si="47"/>
        <v>1.0091240834692412</v>
      </c>
    </row>
    <row r="750" spans="1:15" x14ac:dyDescent="0.2">
      <c r="A750" t="s">
        <v>40</v>
      </c>
      <c r="B750" t="s">
        <v>41</v>
      </c>
      <c r="C750" t="s">
        <v>33</v>
      </c>
      <c r="D750" t="s">
        <v>14</v>
      </c>
      <c r="E750" t="s">
        <v>42</v>
      </c>
      <c r="F750" s="1">
        <v>45413</v>
      </c>
      <c r="G750" t="s">
        <v>20</v>
      </c>
      <c r="H750" s="2">
        <v>50371.81</v>
      </c>
      <c r="I750" s="2">
        <v>51236.9</v>
      </c>
      <c r="J750" s="2">
        <v>49505.36</v>
      </c>
      <c r="K750" s="2">
        <v>50885.42</v>
      </c>
      <c r="L750" s="2">
        <f t="shared" si="44"/>
        <v>865.09000000000378</v>
      </c>
      <c r="M750" s="4">
        <f t="shared" si="45"/>
        <v>1.7174090031706304E-2</v>
      </c>
      <c r="N750" s="2">
        <f t="shared" si="46"/>
        <v>-1731.5400000000009</v>
      </c>
      <c r="O750" s="6">
        <f t="shared" si="47"/>
        <v>0.96620521538188298</v>
      </c>
    </row>
    <row r="751" spans="1:15" x14ac:dyDescent="0.2">
      <c r="A751" t="s">
        <v>40</v>
      </c>
      <c r="B751" t="s">
        <v>41</v>
      </c>
      <c r="C751" t="s">
        <v>33</v>
      </c>
      <c r="D751" t="s">
        <v>14</v>
      </c>
      <c r="E751" t="s">
        <v>42</v>
      </c>
      <c r="F751" s="1">
        <v>45413</v>
      </c>
      <c r="G751" t="s">
        <v>21</v>
      </c>
      <c r="H751" s="2">
        <v>77874.509999999995</v>
      </c>
      <c r="I751" s="2">
        <v>80208.13</v>
      </c>
      <c r="J751" s="2">
        <v>79765.289999999994</v>
      </c>
      <c r="K751" s="2">
        <v>79010.289999999994</v>
      </c>
      <c r="L751" s="2">
        <f t="shared" si="44"/>
        <v>2333.6200000000099</v>
      </c>
      <c r="M751" s="4">
        <f t="shared" si="45"/>
        <v>2.9966416482107048E-2</v>
      </c>
      <c r="N751" s="2">
        <f t="shared" si="46"/>
        <v>-442.84000000001106</v>
      </c>
      <c r="O751" s="6">
        <f t="shared" si="47"/>
        <v>0.99447886392563933</v>
      </c>
    </row>
    <row r="752" spans="1:15" x14ac:dyDescent="0.2">
      <c r="A752" t="s">
        <v>40</v>
      </c>
      <c r="B752" t="s">
        <v>41</v>
      </c>
      <c r="C752" t="s">
        <v>33</v>
      </c>
      <c r="D752" t="s">
        <v>14</v>
      </c>
      <c r="E752" t="s">
        <v>42</v>
      </c>
      <c r="F752" s="1">
        <v>45444</v>
      </c>
      <c r="G752" t="s">
        <v>16</v>
      </c>
      <c r="H752" s="2">
        <v>463922.08</v>
      </c>
      <c r="I752" s="2">
        <v>478945.82</v>
      </c>
      <c r="J752" s="2">
        <v>472197.3</v>
      </c>
      <c r="K752" s="2">
        <v>475719.56</v>
      </c>
      <c r="L752" s="2">
        <f t="shared" si="44"/>
        <v>15023.739999999991</v>
      </c>
      <c r="M752" s="4">
        <f t="shared" si="45"/>
        <v>3.2384188310243804E-2</v>
      </c>
      <c r="N752" s="2">
        <f t="shared" si="46"/>
        <v>-6748.5200000000186</v>
      </c>
      <c r="O752" s="6">
        <f t="shared" si="47"/>
        <v>0.98590963796280751</v>
      </c>
    </row>
    <row r="753" spans="1:15" x14ac:dyDescent="0.2">
      <c r="A753" t="s">
        <v>40</v>
      </c>
      <c r="B753" t="s">
        <v>41</v>
      </c>
      <c r="C753" t="s">
        <v>33</v>
      </c>
      <c r="D753" t="s">
        <v>14</v>
      </c>
      <c r="E753" t="s">
        <v>42</v>
      </c>
      <c r="F753" s="1">
        <v>45444</v>
      </c>
      <c r="G753" t="s">
        <v>17</v>
      </c>
      <c r="H753" s="2">
        <v>379173.47</v>
      </c>
      <c r="I753" s="2">
        <v>376343.29</v>
      </c>
      <c r="J753" s="2">
        <v>373430.94</v>
      </c>
      <c r="K753" s="2">
        <v>383989.53</v>
      </c>
      <c r="L753" s="2">
        <f t="shared" si="44"/>
        <v>-2830.179999999993</v>
      </c>
      <c r="M753" s="4">
        <f t="shared" si="45"/>
        <v>-7.4640770621425415E-3</v>
      </c>
      <c r="N753" s="2">
        <f t="shared" si="46"/>
        <v>-2912.3499999999767</v>
      </c>
      <c r="O753" s="6">
        <f t="shared" si="47"/>
        <v>0.99226145363186902</v>
      </c>
    </row>
    <row r="754" spans="1:15" x14ac:dyDescent="0.2">
      <c r="A754" t="s">
        <v>40</v>
      </c>
      <c r="B754" t="s">
        <v>41</v>
      </c>
      <c r="C754" t="s">
        <v>33</v>
      </c>
      <c r="D754" t="s">
        <v>14</v>
      </c>
      <c r="E754" t="s">
        <v>42</v>
      </c>
      <c r="F754" s="1">
        <v>45444</v>
      </c>
      <c r="G754" t="s">
        <v>18</v>
      </c>
      <c r="H754" s="2">
        <v>290719.53999999998</v>
      </c>
      <c r="I754" s="2">
        <v>293280.76</v>
      </c>
      <c r="J754" s="2">
        <v>289332.46000000002</v>
      </c>
      <c r="K754" s="2">
        <v>296543.42</v>
      </c>
      <c r="L754" s="2">
        <f t="shared" si="44"/>
        <v>2561.2200000000303</v>
      </c>
      <c r="M754" s="4">
        <f t="shared" si="45"/>
        <v>8.8099341378980942E-3</v>
      </c>
      <c r="N754" s="2">
        <f t="shared" si="46"/>
        <v>-3948.2999999999884</v>
      </c>
      <c r="O754" s="6">
        <f t="shared" si="47"/>
        <v>0.98653747351172993</v>
      </c>
    </row>
    <row r="755" spans="1:15" x14ac:dyDescent="0.2">
      <c r="A755" t="s">
        <v>40</v>
      </c>
      <c r="B755" t="s">
        <v>41</v>
      </c>
      <c r="C755" t="s">
        <v>33</v>
      </c>
      <c r="D755" t="s">
        <v>14</v>
      </c>
      <c r="E755" t="s">
        <v>42</v>
      </c>
      <c r="F755" s="1">
        <v>45444</v>
      </c>
      <c r="G755" t="s">
        <v>19</v>
      </c>
      <c r="H755" s="2">
        <v>213719.38</v>
      </c>
      <c r="I755" s="2">
        <v>211674.16</v>
      </c>
      <c r="J755" s="2">
        <v>213084.79</v>
      </c>
      <c r="K755" s="2">
        <v>214077.98</v>
      </c>
      <c r="L755" s="2">
        <f t="shared" si="44"/>
        <v>-2045.2200000000012</v>
      </c>
      <c r="M755" s="4">
        <f t="shared" si="45"/>
        <v>-9.5696515683322738E-3</v>
      </c>
      <c r="N755" s="2">
        <f t="shared" si="46"/>
        <v>1410.6300000000047</v>
      </c>
      <c r="O755" s="6">
        <f t="shared" si="47"/>
        <v>1.0066641577791073</v>
      </c>
    </row>
    <row r="756" spans="1:15" x14ac:dyDescent="0.2">
      <c r="A756" t="s">
        <v>40</v>
      </c>
      <c r="B756" t="s">
        <v>41</v>
      </c>
      <c r="C756" t="s">
        <v>33</v>
      </c>
      <c r="D756" t="s">
        <v>14</v>
      </c>
      <c r="E756" t="s">
        <v>42</v>
      </c>
      <c r="F756" s="1">
        <v>45444</v>
      </c>
      <c r="G756" t="s">
        <v>20</v>
      </c>
      <c r="H756" s="2">
        <v>51631.03</v>
      </c>
      <c r="I756" s="2">
        <v>51465.8</v>
      </c>
      <c r="J756" s="2">
        <v>52843.48</v>
      </c>
      <c r="K756" s="2">
        <v>51842.18</v>
      </c>
      <c r="L756" s="2">
        <f t="shared" si="44"/>
        <v>-165.22999999999593</v>
      </c>
      <c r="M756" s="4">
        <f t="shared" si="45"/>
        <v>-3.2002073171888286E-3</v>
      </c>
      <c r="N756" s="2">
        <f t="shared" si="46"/>
        <v>1377.6800000000003</v>
      </c>
      <c r="O756" s="6">
        <f t="shared" si="47"/>
        <v>1.0267688445530818</v>
      </c>
    </row>
    <row r="757" spans="1:15" x14ac:dyDescent="0.2">
      <c r="A757" t="s">
        <v>40</v>
      </c>
      <c r="B757" t="s">
        <v>41</v>
      </c>
      <c r="C757" t="s">
        <v>33</v>
      </c>
      <c r="D757" t="s">
        <v>14</v>
      </c>
      <c r="E757" t="s">
        <v>42</v>
      </c>
      <c r="F757" s="1">
        <v>45444</v>
      </c>
      <c r="G757" t="s">
        <v>21</v>
      </c>
      <c r="H757" s="2">
        <v>77814.31</v>
      </c>
      <c r="I757" s="2">
        <v>80394.429999999993</v>
      </c>
      <c r="J757" s="2">
        <v>79534.259999999995</v>
      </c>
      <c r="K757" s="2">
        <v>80371.25</v>
      </c>
      <c r="L757" s="2">
        <f t="shared" si="44"/>
        <v>2580.1199999999953</v>
      </c>
      <c r="M757" s="4">
        <f t="shared" si="45"/>
        <v>3.315739739901305E-2</v>
      </c>
      <c r="N757" s="2">
        <f t="shared" si="46"/>
        <v>-860.16999999999825</v>
      </c>
      <c r="O757" s="6">
        <f t="shared" si="47"/>
        <v>0.98930062692154175</v>
      </c>
    </row>
    <row r="758" spans="1:15" x14ac:dyDescent="0.2">
      <c r="A758" t="s">
        <v>40</v>
      </c>
      <c r="B758" t="s">
        <v>41</v>
      </c>
      <c r="C758" t="s">
        <v>33</v>
      </c>
      <c r="D758" t="s">
        <v>14</v>
      </c>
      <c r="E758" t="s">
        <v>42</v>
      </c>
      <c r="F758" s="1">
        <v>45474</v>
      </c>
      <c r="G758" t="s">
        <v>16</v>
      </c>
      <c r="H758" s="2">
        <v>462733.62</v>
      </c>
      <c r="I758" s="2">
        <v>455030.2</v>
      </c>
      <c r="J758" s="2">
        <v>476043.11</v>
      </c>
      <c r="K758" s="2">
        <v>460619.53</v>
      </c>
      <c r="L758" s="2">
        <f t="shared" si="44"/>
        <v>-7703.4199999999837</v>
      </c>
      <c r="M758" s="4">
        <f t="shared" si="45"/>
        <v>-1.6647634118307598E-2</v>
      </c>
      <c r="N758" s="2">
        <f t="shared" si="46"/>
        <v>21012.909999999974</v>
      </c>
      <c r="O758" s="6">
        <f t="shared" si="47"/>
        <v>1.0461791547022592</v>
      </c>
    </row>
    <row r="759" spans="1:15" x14ac:dyDescent="0.2">
      <c r="A759" t="s">
        <v>40</v>
      </c>
      <c r="B759" t="s">
        <v>41</v>
      </c>
      <c r="C759" t="s">
        <v>33</v>
      </c>
      <c r="D759" t="s">
        <v>14</v>
      </c>
      <c r="E759" t="s">
        <v>42</v>
      </c>
      <c r="F759" s="1">
        <v>45474</v>
      </c>
      <c r="G759" t="s">
        <v>17</v>
      </c>
      <c r="H759" s="2">
        <v>364668.39</v>
      </c>
      <c r="I759" s="2">
        <v>361543.59</v>
      </c>
      <c r="J759" s="2">
        <v>356921.46</v>
      </c>
      <c r="K759" s="2">
        <v>363049.53</v>
      </c>
      <c r="L759" s="2">
        <f t="shared" si="44"/>
        <v>-3124.7999999999884</v>
      </c>
      <c r="M759" s="4">
        <f t="shared" si="45"/>
        <v>-8.5688808947767259E-3</v>
      </c>
      <c r="N759" s="2">
        <f t="shared" si="46"/>
        <v>-4622.1300000000047</v>
      </c>
      <c r="O759" s="6">
        <f t="shared" si="47"/>
        <v>0.9872155664549328</v>
      </c>
    </row>
    <row r="760" spans="1:15" x14ac:dyDescent="0.2">
      <c r="A760" t="s">
        <v>40</v>
      </c>
      <c r="B760" t="s">
        <v>41</v>
      </c>
      <c r="C760" t="s">
        <v>33</v>
      </c>
      <c r="D760" t="s">
        <v>14</v>
      </c>
      <c r="E760" t="s">
        <v>42</v>
      </c>
      <c r="F760" s="1">
        <v>45474</v>
      </c>
      <c r="G760" t="s">
        <v>18</v>
      </c>
      <c r="H760" s="2">
        <v>302291.09999999998</v>
      </c>
      <c r="I760" s="2">
        <v>304632.36</v>
      </c>
      <c r="J760" s="2">
        <v>300043.69</v>
      </c>
      <c r="K760" s="2">
        <v>306025.12</v>
      </c>
      <c r="L760" s="2">
        <f t="shared" si="44"/>
        <v>2341.2600000000093</v>
      </c>
      <c r="M760" s="4">
        <f t="shared" si="45"/>
        <v>7.745051045168083E-3</v>
      </c>
      <c r="N760" s="2">
        <f t="shared" si="46"/>
        <v>-4588.6699999999837</v>
      </c>
      <c r="O760" s="6">
        <f t="shared" si="47"/>
        <v>0.9849370237620193</v>
      </c>
    </row>
    <row r="761" spans="1:15" x14ac:dyDescent="0.2">
      <c r="A761" t="s">
        <v>40</v>
      </c>
      <c r="B761" t="s">
        <v>41</v>
      </c>
      <c r="C761" t="s">
        <v>33</v>
      </c>
      <c r="D761" t="s">
        <v>14</v>
      </c>
      <c r="E761" t="s">
        <v>42</v>
      </c>
      <c r="F761" s="1">
        <v>45474</v>
      </c>
      <c r="G761" t="s">
        <v>19</v>
      </c>
      <c r="H761" s="2">
        <v>210058.53</v>
      </c>
      <c r="I761" s="2">
        <v>212949.07</v>
      </c>
      <c r="J761" s="2">
        <v>205977.83</v>
      </c>
      <c r="K761" s="2">
        <v>210790.18</v>
      </c>
      <c r="L761" s="2">
        <f t="shared" si="44"/>
        <v>2890.5400000000081</v>
      </c>
      <c r="M761" s="4">
        <f t="shared" si="45"/>
        <v>1.3760640903275901E-2</v>
      </c>
      <c r="N761" s="2">
        <f t="shared" si="46"/>
        <v>-6971.2400000000198</v>
      </c>
      <c r="O761" s="6">
        <f t="shared" si="47"/>
        <v>0.96726334611369746</v>
      </c>
    </row>
    <row r="762" spans="1:15" x14ac:dyDescent="0.2">
      <c r="A762" t="s">
        <v>40</v>
      </c>
      <c r="B762" t="s">
        <v>41</v>
      </c>
      <c r="C762" t="s">
        <v>33</v>
      </c>
      <c r="D762" t="s">
        <v>14</v>
      </c>
      <c r="E762" t="s">
        <v>42</v>
      </c>
      <c r="F762" s="1">
        <v>45474</v>
      </c>
      <c r="G762" t="s">
        <v>20</v>
      </c>
      <c r="H762" s="2">
        <v>48968.95</v>
      </c>
      <c r="I762" s="2">
        <v>49869.5</v>
      </c>
      <c r="J762" s="2">
        <v>49568.52</v>
      </c>
      <c r="K762" s="2">
        <v>50370.58</v>
      </c>
      <c r="L762" s="2">
        <f t="shared" si="44"/>
        <v>900.55000000000291</v>
      </c>
      <c r="M762" s="4">
        <f t="shared" si="45"/>
        <v>1.8390224826139889E-2</v>
      </c>
      <c r="N762" s="2">
        <f t="shared" si="46"/>
        <v>-300.9800000000032</v>
      </c>
      <c r="O762" s="6">
        <f t="shared" si="47"/>
        <v>0.99396464773057669</v>
      </c>
    </row>
    <row r="763" spans="1:15" x14ac:dyDescent="0.2">
      <c r="A763" t="s">
        <v>40</v>
      </c>
      <c r="B763" t="s">
        <v>41</v>
      </c>
      <c r="C763" t="s">
        <v>33</v>
      </c>
      <c r="D763" t="s">
        <v>14</v>
      </c>
      <c r="E763" t="s">
        <v>42</v>
      </c>
      <c r="F763" s="1">
        <v>45474</v>
      </c>
      <c r="G763" t="s">
        <v>21</v>
      </c>
      <c r="H763" s="2">
        <v>78743.899999999994</v>
      </c>
      <c r="I763" s="2">
        <v>78897.789999999994</v>
      </c>
      <c r="J763" s="2">
        <v>77943.37</v>
      </c>
      <c r="K763" s="2">
        <v>80033.740000000005</v>
      </c>
      <c r="L763" s="2">
        <f t="shared" si="44"/>
        <v>153.88999999999942</v>
      </c>
      <c r="M763" s="4">
        <f t="shared" si="45"/>
        <v>1.9543101116403865E-3</v>
      </c>
      <c r="N763" s="2">
        <f t="shared" si="46"/>
        <v>-954.41999999999825</v>
      </c>
      <c r="O763" s="6">
        <f t="shared" si="47"/>
        <v>0.98790308321690634</v>
      </c>
    </row>
    <row r="764" spans="1:15" x14ac:dyDescent="0.2">
      <c r="A764" t="s">
        <v>40</v>
      </c>
      <c r="B764" t="s">
        <v>41</v>
      </c>
      <c r="C764" t="s">
        <v>33</v>
      </c>
      <c r="D764" t="s">
        <v>14</v>
      </c>
      <c r="E764" t="s">
        <v>42</v>
      </c>
      <c r="F764" s="1">
        <v>45505</v>
      </c>
      <c r="G764" t="s">
        <v>16</v>
      </c>
      <c r="H764" s="2">
        <v>473440.09</v>
      </c>
      <c r="I764" s="2">
        <v>476353.16</v>
      </c>
      <c r="J764" s="2">
        <v>477927.57</v>
      </c>
      <c r="K764" s="2">
        <v>471622.62</v>
      </c>
      <c r="L764" s="2">
        <f t="shared" si="44"/>
        <v>2913.0699999999488</v>
      </c>
      <c r="M764" s="4">
        <f t="shared" si="45"/>
        <v>6.1529854812251931E-3</v>
      </c>
      <c r="N764" s="2">
        <f t="shared" si="46"/>
        <v>1574.4100000000326</v>
      </c>
      <c r="O764" s="6">
        <f t="shared" si="47"/>
        <v>1.003305131847976</v>
      </c>
    </row>
    <row r="765" spans="1:15" x14ac:dyDescent="0.2">
      <c r="A765" t="s">
        <v>40</v>
      </c>
      <c r="B765" t="s">
        <v>41</v>
      </c>
      <c r="C765" t="s">
        <v>33</v>
      </c>
      <c r="D765" t="s">
        <v>14</v>
      </c>
      <c r="E765" t="s">
        <v>42</v>
      </c>
      <c r="F765" s="1">
        <v>45505</v>
      </c>
      <c r="G765" t="s">
        <v>17</v>
      </c>
      <c r="H765" s="2">
        <v>390468.3</v>
      </c>
      <c r="I765" s="2">
        <v>389994.63</v>
      </c>
      <c r="J765" s="2">
        <v>395057.31</v>
      </c>
      <c r="K765" s="2">
        <v>389112.9</v>
      </c>
      <c r="L765" s="2">
        <f t="shared" si="44"/>
        <v>-473.6699999999837</v>
      </c>
      <c r="M765" s="4">
        <f t="shared" si="45"/>
        <v>-1.2130818302023077E-3</v>
      </c>
      <c r="N765" s="2">
        <f t="shared" si="46"/>
        <v>5062.679999999993</v>
      </c>
      <c r="O765" s="6">
        <f t="shared" si="47"/>
        <v>1.0129814095132541</v>
      </c>
    </row>
    <row r="766" spans="1:15" x14ac:dyDescent="0.2">
      <c r="A766" t="s">
        <v>40</v>
      </c>
      <c r="B766" t="s">
        <v>41</v>
      </c>
      <c r="C766" t="s">
        <v>33</v>
      </c>
      <c r="D766" t="s">
        <v>14</v>
      </c>
      <c r="E766" t="s">
        <v>42</v>
      </c>
      <c r="F766" s="1">
        <v>45505</v>
      </c>
      <c r="G766" t="s">
        <v>18</v>
      </c>
      <c r="H766" s="2">
        <v>302403.57</v>
      </c>
      <c r="I766" s="2">
        <v>308864.21000000002</v>
      </c>
      <c r="J766" s="2">
        <v>298809.92</v>
      </c>
      <c r="K766" s="2">
        <v>306762.78999999998</v>
      </c>
      <c r="L766" s="2">
        <f t="shared" si="44"/>
        <v>6460.640000000014</v>
      </c>
      <c r="M766" s="4">
        <f t="shared" si="45"/>
        <v>2.1364298047142811E-2</v>
      </c>
      <c r="N766" s="2">
        <f t="shared" si="46"/>
        <v>-10054.290000000037</v>
      </c>
      <c r="O766" s="6">
        <f t="shared" si="47"/>
        <v>0.96744753948668882</v>
      </c>
    </row>
    <row r="767" spans="1:15" x14ac:dyDescent="0.2">
      <c r="A767" t="s">
        <v>40</v>
      </c>
      <c r="B767" t="s">
        <v>41</v>
      </c>
      <c r="C767" t="s">
        <v>33</v>
      </c>
      <c r="D767" t="s">
        <v>14</v>
      </c>
      <c r="E767" t="s">
        <v>42</v>
      </c>
      <c r="F767" s="1">
        <v>45505</v>
      </c>
      <c r="G767" t="s">
        <v>19</v>
      </c>
      <c r="H767" s="2">
        <v>223124.73</v>
      </c>
      <c r="I767" s="2">
        <v>228838.15</v>
      </c>
      <c r="J767" s="2">
        <v>223157.75</v>
      </c>
      <c r="K767" s="2">
        <v>225968.94</v>
      </c>
      <c r="L767" s="2">
        <f t="shared" si="44"/>
        <v>5713.4199999999837</v>
      </c>
      <c r="M767" s="4">
        <f t="shared" si="45"/>
        <v>2.5606395131548096E-2</v>
      </c>
      <c r="N767" s="2">
        <f t="shared" si="46"/>
        <v>-5680.3999999999942</v>
      </c>
      <c r="O767" s="6">
        <f t="shared" si="47"/>
        <v>0.97517721586195316</v>
      </c>
    </row>
    <row r="768" spans="1:15" x14ac:dyDescent="0.2">
      <c r="A768" t="s">
        <v>40</v>
      </c>
      <c r="B768" t="s">
        <v>41</v>
      </c>
      <c r="C768" t="s">
        <v>33</v>
      </c>
      <c r="D768" t="s">
        <v>14</v>
      </c>
      <c r="E768" t="s">
        <v>42</v>
      </c>
      <c r="F768" s="1">
        <v>45505</v>
      </c>
      <c r="G768" t="s">
        <v>20</v>
      </c>
      <c r="H768" s="2">
        <v>53147.92</v>
      </c>
      <c r="I768" s="2">
        <v>52152.36</v>
      </c>
      <c r="J768" s="2">
        <v>51857.25</v>
      </c>
      <c r="K768" s="2">
        <v>53184.3</v>
      </c>
      <c r="L768" s="2">
        <f t="shared" si="44"/>
        <v>-995.55999999999767</v>
      </c>
      <c r="M768" s="4">
        <f t="shared" si="45"/>
        <v>-1.8731871350750842E-2</v>
      </c>
      <c r="N768" s="2">
        <f t="shared" si="46"/>
        <v>-295.11000000000058</v>
      </c>
      <c r="O768" s="6">
        <f t="shared" si="47"/>
        <v>0.99434138742714617</v>
      </c>
    </row>
    <row r="769" spans="1:15" x14ac:dyDescent="0.2">
      <c r="A769" t="s">
        <v>40</v>
      </c>
      <c r="B769" t="s">
        <v>41</v>
      </c>
      <c r="C769" t="s">
        <v>33</v>
      </c>
      <c r="D769" t="s">
        <v>14</v>
      </c>
      <c r="E769" t="s">
        <v>42</v>
      </c>
      <c r="F769" s="1">
        <v>45505</v>
      </c>
      <c r="G769" t="s">
        <v>21</v>
      </c>
      <c r="H769" s="2">
        <v>79387.070000000007</v>
      </c>
      <c r="I769" s="2">
        <v>77540.36</v>
      </c>
      <c r="J769" s="2">
        <v>81305.86</v>
      </c>
      <c r="K769" s="2">
        <v>78635</v>
      </c>
      <c r="L769" s="2">
        <f t="shared" si="44"/>
        <v>-1846.7100000000064</v>
      </c>
      <c r="M769" s="4">
        <f t="shared" si="45"/>
        <v>-2.3262100490671921E-2</v>
      </c>
      <c r="N769" s="2">
        <f t="shared" si="46"/>
        <v>3765.5</v>
      </c>
      <c r="O769" s="6">
        <f t="shared" si="47"/>
        <v>1.0485618070382958</v>
      </c>
    </row>
    <row r="770" spans="1:15" x14ac:dyDescent="0.2">
      <c r="A770" t="s">
        <v>40</v>
      </c>
      <c r="B770" t="s">
        <v>41</v>
      </c>
      <c r="C770" t="s">
        <v>33</v>
      </c>
      <c r="D770" t="s">
        <v>14</v>
      </c>
      <c r="E770" t="s">
        <v>42</v>
      </c>
      <c r="F770" s="1">
        <v>45536</v>
      </c>
      <c r="G770" t="s">
        <v>16</v>
      </c>
      <c r="H770" s="2">
        <v>467584.08</v>
      </c>
      <c r="I770" s="2">
        <v>451848.25</v>
      </c>
      <c r="J770" s="2">
        <v>462137.7</v>
      </c>
      <c r="K770" s="2">
        <v>453424.07</v>
      </c>
      <c r="L770" s="2">
        <f t="shared" ref="L770:L833" si="48">I770-H770</f>
        <v>-15735.830000000016</v>
      </c>
      <c r="M770" s="4">
        <f t="shared" ref="M770:M833" si="49">L770/H770</f>
        <v>-3.3653476824959512E-2</v>
      </c>
      <c r="N770" s="2">
        <f t="shared" ref="N770:N833" si="50">J770-I770</f>
        <v>10289.450000000012</v>
      </c>
      <c r="O770" s="6">
        <f t="shared" ref="O770:O833" si="51">J770/I770</f>
        <v>1.0227719151285857</v>
      </c>
    </row>
    <row r="771" spans="1:15" x14ac:dyDescent="0.2">
      <c r="A771" t="s">
        <v>40</v>
      </c>
      <c r="B771" t="s">
        <v>41</v>
      </c>
      <c r="C771" t="s">
        <v>33</v>
      </c>
      <c r="D771" t="s">
        <v>14</v>
      </c>
      <c r="E771" t="s">
        <v>42</v>
      </c>
      <c r="F771" s="1">
        <v>45536</v>
      </c>
      <c r="G771" t="s">
        <v>17</v>
      </c>
      <c r="H771" s="2">
        <v>380889.99</v>
      </c>
      <c r="I771" s="2">
        <v>383024.11</v>
      </c>
      <c r="J771" s="2">
        <v>370970.8</v>
      </c>
      <c r="K771" s="2">
        <v>388295.2</v>
      </c>
      <c r="L771" s="2">
        <f t="shared" si="48"/>
        <v>2134.1199999999953</v>
      </c>
      <c r="M771" s="4">
        <f t="shared" si="49"/>
        <v>5.602982635484843E-3</v>
      </c>
      <c r="N771" s="2">
        <f t="shared" si="50"/>
        <v>-12053.309999999998</v>
      </c>
      <c r="O771" s="6">
        <f t="shared" si="51"/>
        <v>0.96853119768361318</v>
      </c>
    </row>
    <row r="772" spans="1:15" x14ac:dyDescent="0.2">
      <c r="A772" t="s">
        <v>40</v>
      </c>
      <c r="B772" t="s">
        <v>41</v>
      </c>
      <c r="C772" t="s">
        <v>33</v>
      </c>
      <c r="D772" t="s">
        <v>14</v>
      </c>
      <c r="E772" t="s">
        <v>42</v>
      </c>
      <c r="F772" s="1">
        <v>45536</v>
      </c>
      <c r="G772" t="s">
        <v>18</v>
      </c>
      <c r="H772" s="2">
        <v>287814.94</v>
      </c>
      <c r="I772" s="2">
        <v>295436.84000000003</v>
      </c>
      <c r="J772" s="2">
        <v>280949.57</v>
      </c>
      <c r="K772" s="2">
        <v>290720.14</v>
      </c>
      <c r="L772" s="2">
        <f t="shared" si="48"/>
        <v>7621.9000000000233</v>
      </c>
      <c r="M772" s="4">
        <f t="shared" si="49"/>
        <v>2.6481947045556505E-2</v>
      </c>
      <c r="N772" s="2">
        <f t="shared" si="50"/>
        <v>-14487.270000000019</v>
      </c>
      <c r="O772" s="6">
        <f t="shared" si="51"/>
        <v>0.95096322449156978</v>
      </c>
    </row>
    <row r="773" spans="1:15" x14ac:dyDescent="0.2">
      <c r="A773" t="s">
        <v>40</v>
      </c>
      <c r="B773" t="s">
        <v>41</v>
      </c>
      <c r="C773" t="s">
        <v>33</v>
      </c>
      <c r="D773" t="s">
        <v>14</v>
      </c>
      <c r="E773" t="s">
        <v>42</v>
      </c>
      <c r="F773" s="1">
        <v>45536</v>
      </c>
      <c r="G773" t="s">
        <v>19</v>
      </c>
      <c r="H773" s="2">
        <v>212206.81</v>
      </c>
      <c r="I773" s="2">
        <v>209237.31</v>
      </c>
      <c r="J773" s="2">
        <v>215279.46</v>
      </c>
      <c r="K773" s="2">
        <v>213277.06</v>
      </c>
      <c r="L773" s="2">
        <f t="shared" si="48"/>
        <v>-2969.5</v>
      </c>
      <c r="M773" s="4">
        <f t="shared" si="49"/>
        <v>-1.399342462195252E-2</v>
      </c>
      <c r="N773" s="2">
        <f t="shared" si="50"/>
        <v>6042.1499999999942</v>
      </c>
      <c r="O773" s="6">
        <f t="shared" si="51"/>
        <v>1.0288770200687438</v>
      </c>
    </row>
    <row r="774" spans="1:15" x14ac:dyDescent="0.2">
      <c r="A774" t="s">
        <v>40</v>
      </c>
      <c r="B774" t="s">
        <v>41</v>
      </c>
      <c r="C774" t="s">
        <v>33</v>
      </c>
      <c r="D774" t="s">
        <v>14</v>
      </c>
      <c r="E774" t="s">
        <v>42</v>
      </c>
      <c r="F774" s="1">
        <v>45536</v>
      </c>
      <c r="G774" t="s">
        <v>20</v>
      </c>
      <c r="H774" s="2">
        <v>53691.75</v>
      </c>
      <c r="I774" s="2">
        <v>52705.440000000002</v>
      </c>
      <c r="J774" s="2">
        <v>55075.15</v>
      </c>
      <c r="K774" s="2">
        <v>53919.82</v>
      </c>
      <c r="L774" s="2">
        <f t="shared" si="48"/>
        <v>-986.30999999999767</v>
      </c>
      <c r="M774" s="4">
        <f t="shared" si="49"/>
        <v>-1.8369861291539159E-2</v>
      </c>
      <c r="N774" s="2">
        <f t="shared" si="50"/>
        <v>2369.7099999999991</v>
      </c>
      <c r="O774" s="6">
        <f t="shared" si="51"/>
        <v>1.0449613929795483</v>
      </c>
    </row>
    <row r="775" spans="1:15" x14ac:dyDescent="0.2">
      <c r="A775" t="s">
        <v>40</v>
      </c>
      <c r="B775" t="s">
        <v>41</v>
      </c>
      <c r="C775" t="s">
        <v>33</v>
      </c>
      <c r="D775" t="s">
        <v>14</v>
      </c>
      <c r="E775" t="s">
        <v>42</v>
      </c>
      <c r="F775" s="1">
        <v>45536</v>
      </c>
      <c r="G775" t="s">
        <v>21</v>
      </c>
      <c r="H775" s="2">
        <v>82437.8</v>
      </c>
      <c r="I775" s="2">
        <v>81965.570000000007</v>
      </c>
      <c r="J775" s="2">
        <v>81700.3</v>
      </c>
      <c r="K775" s="2">
        <v>81520.03</v>
      </c>
      <c r="L775" s="2">
        <f t="shared" si="48"/>
        <v>-472.22999999999593</v>
      </c>
      <c r="M775" s="4">
        <f t="shared" si="49"/>
        <v>-5.7283188052082408E-3</v>
      </c>
      <c r="N775" s="2">
        <f t="shared" si="50"/>
        <v>-265.27000000000407</v>
      </c>
      <c r="O775" s="6">
        <f t="shared" si="51"/>
        <v>0.99676364112394988</v>
      </c>
    </row>
    <row r="776" spans="1:15" x14ac:dyDescent="0.2">
      <c r="A776" t="s">
        <v>40</v>
      </c>
      <c r="B776" t="s">
        <v>41</v>
      </c>
      <c r="C776" t="s">
        <v>33</v>
      </c>
      <c r="D776" t="s">
        <v>14</v>
      </c>
      <c r="E776" t="s">
        <v>42</v>
      </c>
      <c r="F776" s="1">
        <v>45566</v>
      </c>
      <c r="G776" t="s">
        <v>16</v>
      </c>
      <c r="H776" s="2">
        <v>491620.04</v>
      </c>
      <c r="I776" s="2">
        <v>506816.54</v>
      </c>
      <c r="J776" s="2">
        <v>502882.27</v>
      </c>
      <c r="K776" s="2">
        <v>501037.69</v>
      </c>
      <c r="L776" s="2">
        <f t="shared" si="48"/>
        <v>15196.5</v>
      </c>
      <c r="M776" s="4">
        <f t="shared" si="49"/>
        <v>3.0911067010205687E-2</v>
      </c>
      <c r="N776" s="2">
        <f t="shared" si="50"/>
        <v>-3934.2699999999604</v>
      </c>
      <c r="O776" s="6">
        <f t="shared" si="51"/>
        <v>0.99223728965120206</v>
      </c>
    </row>
    <row r="777" spans="1:15" x14ac:dyDescent="0.2">
      <c r="A777" t="s">
        <v>40</v>
      </c>
      <c r="B777" t="s">
        <v>41</v>
      </c>
      <c r="C777" t="s">
        <v>33</v>
      </c>
      <c r="D777" t="s">
        <v>14</v>
      </c>
      <c r="E777" t="s">
        <v>42</v>
      </c>
      <c r="F777" s="1">
        <v>45566</v>
      </c>
      <c r="G777" t="s">
        <v>17</v>
      </c>
      <c r="H777" s="2">
        <v>371346.37</v>
      </c>
      <c r="I777" s="2">
        <v>370169.87</v>
      </c>
      <c r="J777" s="2">
        <v>368307.24</v>
      </c>
      <c r="K777" s="2">
        <v>374242.33</v>
      </c>
      <c r="L777" s="2">
        <f t="shared" si="48"/>
        <v>-1176.5</v>
      </c>
      <c r="M777" s="4">
        <f t="shared" si="49"/>
        <v>-3.1682011594727586E-3</v>
      </c>
      <c r="N777" s="2">
        <f t="shared" si="50"/>
        <v>-1862.6300000000047</v>
      </c>
      <c r="O777" s="6">
        <f t="shared" si="51"/>
        <v>0.99496817501651336</v>
      </c>
    </row>
    <row r="778" spans="1:15" x14ac:dyDescent="0.2">
      <c r="A778" t="s">
        <v>40</v>
      </c>
      <c r="B778" t="s">
        <v>41</v>
      </c>
      <c r="C778" t="s">
        <v>33</v>
      </c>
      <c r="D778" t="s">
        <v>14</v>
      </c>
      <c r="E778" t="s">
        <v>42</v>
      </c>
      <c r="F778" s="1">
        <v>45566</v>
      </c>
      <c r="G778" t="s">
        <v>18</v>
      </c>
      <c r="H778" s="2">
        <v>292279.76</v>
      </c>
      <c r="I778" s="2">
        <v>292885.93</v>
      </c>
      <c r="J778" s="2">
        <v>284924.89</v>
      </c>
      <c r="K778" s="2">
        <v>291154.11</v>
      </c>
      <c r="L778" s="2">
        <f t="shared" si="48"/>
        <v>606.1699999999837</v>
      </c>
      <c r="M778" s="4">
        <f t="shared" si="49"/>
        <v>2.0739376548002627E-3</v>
      </c>
      <c r="N778" s="2">
        <f t="shared" si="50"/>
        <v>-7961.039999999979</v>
      </c>
      <c r="O778" s="6">
        <f t="shared" si="51"/>
        <v>0.97281863283770587</v>
      </c>
    </row>
    <row r="779" spans="1:15" x14ac:dyDescent="0.2">
      <c r="A779" t="s">
        <v>40</v>
      </c>
      <c r="B779" t="s">
        <v>41</v>
      </c>
      <c r="C779" t="s">
        <v>33</v>
      </c>
      <c r="D779" t="s">
        <v>14</v>
      </c>
      <c r="E779" t="s">
        <v>42</v>
      </c>
      <c r="F779" s="1">
        <v>45566</v>
      </c>
      <c r="G779" t="s">
        <v>19</v>
      </c>
      <c r="H779" s="2">
        <v>216066.12</v>
      </c>
      <c r="I779" s="2">
        <v>215345.95</v>
      </c>
      <c r="J779" s="2">
        <v>211892.63</v>
      </c>
      <c r="K779" s="2">
        <v>215928.19</v>
      </c>
      <c r="L779" s="2">
        <f t="shared" si="48"/>
        <v>-720.1699999999837</v>
      </c>
      <c r="M779" s="4">
        <f t="shared" si="49"/>
        <v>-3.3331000714039928E-3</v>
      </c>
      <c r="N779" s="2">
        <f t="shared" si="50"/>
        <v>-3453.320000000007</v>
      </c>
      <c r="O779" s="6">
        <f t="shared" si="51"/>
        <v>0.98396384979610707</v>
      </c>
    </row>
    <row r="780" spans="1:15" x14ac:dyDescent="0.2">
      <c r="A780" t="s">
        <v>40</v>
      </c>
      <c r="B780" t="s">
        <v>41</v>
      </c>
      <c r="C780" t="s">
        <v>33</v>
      </c>
      <c r="D780" t="s">
        <v>14</v>
      </c>
      <c r="E780" t="s">
        <v>42</v>
      </c>
      <c r="F780" s="1">
        <v>45566</v>
      </c>
      <c r="G780" t="s">
        <v>20</v>
      </c>
      <c r="H780" s="2">
        <v>52979.38</v>
      </c>
      <c r="I780" s="2">
        <v>52615.26</v>
      </c>
      <c r="J780" s="2">
        <v>53573.71</v>
      </c>
      <c r="K780" s="2">
        <v>53172.04</v>
      </c>
      <c r="L780" s="2">
        <f t="shared" si="48"/>
        <v>-364.11999999999534</v>
      </c>
      <c r="M780" s="4">
        <f t="shared" si="49"/>
        <v>-6.8728626118311573E-3</v>
      </c>
      <c r="N780" s="2">
        <f t="shared" si="50"/>
        <v>958.44999999999709</v>
      </c>
      <c r="O780" s="6">
        <f t="shared" si="51"/>
        <v>1.0182161981143873</v>
      </c>
    </row>
    <row r="781" spans="1:15" x14ac:dyDescent="0.2">
      <c r="A781" t="s">
        <v>40</v>
      </c>
      <c r="B781" t="s">
        <v>41</v>
      </c>
      <c r="C781" t="s">
        <v>33</v>
      </c>
      <c r="D781" t="s">
        <v>14</v>
      </c>
      <c r="E781" t="s">
        <v>42</v>
      </c>
      <c r="F781" s="1">
        <v>45566</v>
      </c>
      <c r="G781" t="s">
        <v>21</v>
      </c>
      <c r="H781" s="2">
        <v>81970.77</v>
      </c>
      <c r="I781" s="2">
        <v>83656.22</v>
      </c>
      <c r="J781" s="2">
        <v>80381.440000000002</v>
      </c>
      <c r="K781" s="2">
        <v>83982.26</v>
      </c>
      <c r="L781" s="2">
        <f t="shared" si="48"/>
        <v>1685.4499999999971</v>
      </c>
      <c r="M781" s="4">
        <f t="shared" si="49"/>
        <v>2.0561597750027198E-2</v>
      </c>
      <c r="N781" s="2">
        <f t="shared" si="50"/>
        <v>-3274.7799999999988</v>
      </c>
      <c r="O781" s="6">
        <f t="shared" si="51"/>
        <v>0.96085431543524202</v>
      </c>
    </row>
    <row r="782" spans="1:15" x14ac:dyDescent="0.2">
      <c r="A782" t="s">
        <v>40</v>
      </c>
      <c r="B782" t="s">
        <v>41</v>
      </c>
      <c r="C782" t="s">
        <v>33</v>
      </c>
      <c r="D782" t="s">
        <v>14</v>
      </c>
      <c r="E782" t="s">
        <v>42</v>
      </c>
      <c r="F782" s="1">
        <v>45597</v>
      </c>
      <c r="G782" t="s">
        <v>16</v>
      </c>
      <c r="H782" s="2">
        <v>503720.01</v>
      </c>
      <c r="I782" s="2">
        <v>510629.05</v>
      </c>
      <c r="J782" s="2">
        <v>492073.55</v>
      </c>
      <c r="K782" s="2">
        <v>515111.67</v>
      </c>
      <c r="L782" s="2">
        <f t="shared" si="48"/>
        <v>6909.039999999979</v>
      </c>
      <c r="M782" s="4">
        <f t="shared" si="49"/>
        <v>1.3716032444293763E-2</v>
      </c>
      <c r="N782" s="2">
        <f t="shared" si="50"/>
        <v>-18555.5</v>
      </c>
      <c r="O782" s="6">
        <f t="shared" si="51"/>
        <v>0.96366148772773508</v>
      </c>
    </row>
    <row r="783" spans="1:15" x14ac:dyDescent="0.2">
      <c r="A783" t="s">
        <v>40</v>
      </c>
      <c r="B783" t="s">
        <v>41</v>
      </c>
      <c r="C783" t="s">
        <v>33</v>
      </c>
      <c r="D783" t="s">
        <v>14</v>
      </c>
      <c r="E783" t="s">
        <v>42</v>
      </c>
      <c r="F783" s="1">
        <v>45597</v>
      </c>
      <c r="G783" t="s">
        <v>17</v>
      </c>
      <c r="H783" s="2">
        <v>373963.87</v>
      </c>
      <c r="I783" s="2">
        <v>367678.38</v>
      </c>
      <c r="J783" s="2">
        <v>378189.5</v>
      </c>
      <c r="K783" s="2">
        <v>367536.24</v>
      </c>
      <c r="L783" s="2">
        <f t="shared" si="48"/>
        <v>-6285.4899999999907</v>
      </c>
      <c r="M783" s="4">
        <f t="shared" si="49"/>
        <v>-1.6807746694887906E-2</v>
      </c>
      <c r="N783" s="2">
        <f t="shared" si="50"/>
        <v>10511.119999999995</v>
      </c>
      <c r="O783" s="6">
        <f t="shared" si="51"/>
        <v>1.0285878109014732</v>
      </c>
    </row>
    <row r="784" spans="1:15" x14ac:dyDescent="0.2">
      <c r="A784" t="s">
        <v>40</v>
      </c>
      <c r="B784" t="s">
        <v>41</v>
      </c>
      <c r="C784" t="s">
        <v>33</v>
      </c>
      <c r="D784" t="s">
        <v>14</v>
      </c>
      <c r="E784" t="s">
        <v>42</v>
      </c>
      <c r="F784" s="1">
        <v>45597</v>
      </c>
      <c r="G784" t="s">
        <v>18</v>
      </c>
      <c r="H784" s="2">
        <v>311813.31</v>
      </c>
      <c r="I784" s="2">
        <v>308139.5</v>
      </c>
      <c r="J784" s="2">
        <v>316565.43</v>
      </c>
      <c r="K784" s="2">
        <v>306868.03999999998</v>
      </c>
      <c r="L784" s="2">
        <f t="shared" si="48"/>
        <v>-3673.8099999999977</v>
      </c>
      <c r="M784" s="4">
        <f t="shared" si="49"/>
        <v>-1.1782082041334277E-2</v>
      </c>
      <c r="N784" s="2">
        <f t="shared" si="50"/>
        <v>8425.929999999993</v>
      </c>
      <c r="O784" s="6">
        <f t="shared" si="51"/>
        <v>1.0273445306427771</v>
      </c>
    </row>
    <row r="785" spans="1:15" x14ac:dyDescent="0.2">
      <c r="A785" t="s">
        <v>40</v>
      </c>
      <c r="B785" t="s">
        <v>41</v>
      </c>
      <c r="C785" t="s">
        <v>33</v>
      </c>
      <c r="D785" t="s">
        <v>14</v>
      </c>
      <c r="E785" t="s">
        <v>42</v>
      </c>
      <c r="F785" s="1">
        <v>45597</v>
      </c>
      <c r="G785" t="s">
        <v>19</v>
      </c>
      <c r="H785" s="2">
        <v>217613.95</v>
      </c>
      <c r="I785" s="2">
        <v>214114.91</v>
      </c>
      <c r="J785" s="2">
        <v>218129.3</v>
      </c>
      <c r="K785" s="2">
        <v>215214.03</v>
      </c>
      <c r="L785" s="2">
        <f t="shared" si="48"/>
        <v>-3499.0400000000081</v>
      </c>
      <c r="M785" s="4">
        <f t="shared" si="49"/>
        <v>-1.6079116251508728E-2</v>
      </c>
      <c r="N785" s="2">
        <f t="shared" si="50"/>
        <v>4014.3899999999849</v>
      </c>
      <c r="O785" s="6">
        <f t="shared" si="51"/>
        <v>1.0187487643901119</v>
      </c>
    </row>
    <row r="786" spans="1:15" x14ac:dyDescent="0.2">
      <c r="A786" t="s">
        <v>40</v>
      </c>
      <c r="B786" t="s">
        <v>41</v>
      </c>
      <c r="C786" t="s">
        <v>33</v>
      </c>
      <c r="D786" t="s">
        <v>14</v>
      </c>
      <c r="E786" t="s">
        <v>42</v>
      </c>
      <c r="F786" s="1">
        <v>45597</v>
      </c>
      <c r="G786" t="s">
        <v>20</v>
      </c>
      <c r="H786" s="2">
        <v>53293.97</v>
      </c>
      <c r="I786" s="2">
        <v>53009.65</v>
      </c>
      <c r="J786" s="2">
        <v>53230.33</v>
      </c>
      <c r="K786" s="2">
        <v>53524.43</v>
      </c>
      <c r="L786" s="2">
        <f t="shared" si="48"/>
        <v>-284.31999999999971</v>
      </c>
      <c r="M786" s="4">
        <f t="shared" si="49"/>
        <v>-5.334937517321372E-3</v>
      </c>
      <c r="N786" s="2">
        <f t="shared" si="50"/>
        <v>220.68000000000029</v>
      </c>
      <c r="O786" s="6">
        <f t="shared" si="51"/>
        <v>1.0041630156018764</v>
      </c>
    </row>
    <row r="787" spans="1:15" x14ac:dyDescent="0.2">
      <c r="A787" t="s">
        <v>40</v>
      </c>
      <c r="B787" t="s">
        <v>41</v>
      </c>
      <c r="C787" t="s">
        <v>33</v>
      </c>
      <c r="D787" t="s">
        <v>14</v>
      </c>
      <c r="E787" t="s">
        <v>42</v>
      </c>
      <c r="F787" s="1">
        <v>45597</v>
      </c>
      <c r="G787" t="s">
        <v>21</v>
      </c>
      <c r="H787" s="2">
        <v>83953.75</v>
      </c>
      <c r="I787" s="2">
        <v>82169.89</v>
      </c>
      <c r="J787" s="2">
        <v>85542.58</v>
      </c>
      <c r="K787" s="2">
        <v>82466.8</v>
      </c>
      <c r="L787" s="2">
        <f t="shared" si="48"/>
        <v>-1783.8600000000006</v>
      </c>
      <c r="M787" s="4">
        <f t="shared" si="49"/>
        <v>-2.1248127689352775E-2</v>
      </c>
      <c r="N787" s="2">
        <f t="shared" si="50"/>
        <v>3372.6900000000023</v>
      </c>
      <c r="O787" s="6">
        <f t="shared" si="51"/>
        <v>1.0410453269439695</v>
      </c>
    </row>
    <row r="788" spans="1:15" x14ac:dyDescent="0.2">
      <c r="A788" t="s">
        <v>40</v>
      </c>
      <c r="B788" t="s">
        <v>41</v>
      </c>
      <c r="C788" t="s">
        <v>33</v>
      </c>
      <c r="D788" t="s">
        <v>14</v>
      </c>
      <c r="E788" t="s">
        <v>42</v>
      </c>
      <c r="F788" s="1">
        <v>45627</v>
      </c>
      <c r="G788" t="s">
        <v>16</v>
      </c>
      <c r="H788" s="2">
        <v>490128.04</v>
      </c>
      <c r="I788" s="2">
        <v>477339.86</v>
      </c>
      <c r="J788" s="2">
        <v>481831.51</v>
      </c>
      <c r="K788" s="2">
        <v>484251.96</v>
      </c>
      <c r="L788" s="2">
        <f t="shared" si="48"/>
        <v>-12788.179999999993</v>
      </c>
      <c r="M788" s="4">
        <f t="shared" si="49"/>
        <v>-2.6091508659655534E-2</v>
      </c>
      <c r="N788" s="2">
        <f t="shared" si="50"/>
        <v>4491.6500000000233</v>
      </c>
      <c r="O788" s="6">
        <f t="shared" si="51"/>
        <v>1.0094097526236339</v>
      </c>
    </row>
    <row r="789" spans="1:15" x14ac:dyDescent="0.2">
      <c r="A789" t="s">
        <v>40</v>
      </c>
      <c r="B789" t="s">
        <v>41</v>
      </c>
      <c r="C789" t="s">
        <v>33</v>
      </c>
      <c r="D789" t="s">
        <v>14</v>
      </c>
      <c r="E789" t="s">
        <v>42</v>
      </c>
      <c r="F789" s="1">
        <v>45627</v>
      </c>
      <c r="G789" t="s">
        <v>17</v>
      </c>
      <c r="H789" s="2">
        <v>403116.89</v>
      </c>
      <c r="I789" s="2">
        <v>389706.54</v>
      </c>
      <c r="J789" s="2">
        <v>414857.64</v>
      </c>
      <c r="K789" s="2">
        <v>398399.61</v>
      </c>
      <c r="L789" s="2">
        <f t="shared" si="48"/>
        <v>-13410.350000000035</v>
      </c>
      <c r="M789" s="4">
        <f t="shared" si="49"/>
        <v>-3.3266653748990856E-2</v>
      </c>
      <c r="N789" s="2">
        <f t="shared" si="50"/>
        <v>25151.100000000035</v>
      </c>
      <c r="O789" s="6">
        <f t="shared" si="51"/>
        <v>1.0645385627862443</v>
      </c>
    </row>
    <row r="790" spans="1:15" x14ac:dyDescent="0.2">
      <c r="A790" t="s">
        <v>40</v>
      </c>
      <c r="B790" t="s">
        <v>41</v>
      </c>
      <c r="C790" t="s">
        <v>33</v>
      </c>
      <c r="D790" t="s">
        <v>14</v>
      </c>
      <c r="E790" t="s">
        <v>42</v>
      </c>
      <c r="F790" s="1">
        <v>45627</v>
      </c>
      <c r="G790" t="s">
        <v>18</v>
      </c>
      <c r="H790" s="2">
        <v>299252.96000000002</v>
      </c>
      <c r="I790" s="2">
        <v>299438.46999999997</v>
      </c>
      <c r="J790" s="2">
        <v>306726.61</v>
      </c>
      <c r="K790" s="2">
        <v>300234.99</v>
      </c>
      <c r="L790" s="2">
        <f t="shared" si="48"/>
        <v>185.50999999995111</v>
      </c>
      <c r="M790" s="4">
        <f t="shared" si="49"/>
        <v>6.1991032603303606E-4</v>
      </c>
      <c r="N790" s="2">
        <f t="shared" si="50"/>
        <v>7288.140000000014</v>
      </c>
      <c r="O790" s="6">
        <f t="shared" si="51"/>
        <v>1.0243393575982405</v>
      </c>
    </row>
    <row r="791" spans="1:15" x14ac:dyDescent="0.2">
      <c r="A791" t="s">
        <v>40</v>
      </c>
      <c r="B791" t="s">
        <v>41</v>
      </c>
      <c r="C791" t="s">
        <v>33</v>
      </c>
      <c r="D791" t="s">
        <v>14</v>
      </c>
      <c r="E791" t="s">
        <v>42</v>
      </c>
      <c r="F791" s="1">
        <v>45627</v>
      </c>
      <c r="G791" t="s">
        <v>19</v>
      </c>
      <c r="H791" s="2">
        <v>219877.55</v>
      </c>
      <c r="I791" s="2">
        <v>216764.39</v>
      </c>
      <c r="J791" s="2">
        <v>224242.26</v>
      </c>
      <c r="K791" s="2">
        <v>220406.11</v>
      </c>
      <c r="L791" s="2">
        <f t="shared" si="48"/>
        <v>-3113.1599999999744</v>
      </c>
      <c r="M791" s="4">
        <f t="shared" si="49"/>
        <v>-1.4158607825128006E-2</v>
      </c>
      <c r="N791" s="2">
        <f t="shared" si="50"/>
        <v>7477.8699999999953</v>
      </c>
      <c r="O791" s="6">
        <f t="shared" si="51"/>
        <v>1.0344976866357061</v>
      </c>
    </row>
    <row r="792" spans="1:15" x14ac:dyDescent="0.2">
      <c r="A792" t="s">
        <v>40</v>
      </c>
      <c r="B792" t="s">
        <v>41</v>
      </c>
      <c r="C792" t="s">
        <v>33</v>
      </c>
      <c r="D792" t="s">
        <v>14</v>
      </c>
      <c r="E792" t="s">
        <v>42</v>
      </c>
      <c r="F792" s="1">
        <v>45627</v>
      </c>
      <c r="G792" t="s">
        <v>20</v>
      </c>
      <c r="H792" s="2">
        <v>53659.06</v>
      </c>
      <c r="I792" s="2">
        <v>53213.01</v>
      </c>
      <c r="J792" s="2">
        <v>52881.88</v>
      </c>
      <c r="K792" s="2">
        <v>53524.29</v>
      </c>
      <c r="L792" s="2">
        <f t="shared" si="48"/>
        <v>-446.04999999999563</v>
      </c>
      <c r="M792" s="4">
        <f t="shared" si="49"/>
        <v>-8.3126689136931511E-3</v>
      </c>
      <c r="N792" s="2">
        <f t="shared" si="50"/>
        <v>-331.13000000000466</v>
      </c>
      <c r="O792" s="6">
        <f t="shared" si="51"/>
        <v>0.99377727364041224</v>
      </c>
    </row>
    <row r="793" spans="1:15" x14ac:dyDescent="0.2">
      <c r="A793" t="s">
        <v>40</v>
      </c>
      <c r="B793" t="s">
        <v>41</v>
      </c>
      <c r="C793" t="s">
        <v>33</v>
      </c>
      <c r="D793" t="s">
        <v>14</v>
      </c>
      <c r="E793" t="s">
        <v>42</v>
      </c>
      <c r="F793" s="1">
        <v>45627</v>
      </c>
      <c r="G793" t="s">
        <v>21</v>
      </c>
      <c r="H793" s="2">
        <v>84481.38</v>
      </c>
      <c r="I793" s="2">
        <v>85302.080000000002</v>
      </c>
      <c r="J793" s="2">
        <v>82880.97</v>
      </c>
      <c r="K793" s="2">
        <v>85138.5</v>
      </c>
      <c r="L793" s="2">
        <f t="shared" si="48"/>
        <v>820.69999999999709</v>
      </c>
      <c r="M793" s="4">
        <f t="shared" si="49"/>
        <v>9.7145666891331212E-3</v>
      </c>
      <c r="N793" s="2">
        <f t="shared" si="50"/>
        <v>-2421.1100000000006</v>
      </c>
      <c r="O793" s="6">
        <f t="shared" si="51"/>
        <v>0.97161722199505574</v>
      </c>
    </row>
    <row r="794" spans="1:15" x14ac:dyDescent="0.2">
      <c r="A794" t="s">
        <v>40</v>
      </c>
      <c r="B794" t="s">
        <v>41</v>
      </c>
      <c r="C794" t="s">
        <v>33</v>
      </c>
      <c r="D794" t="s">
        <v>14</v>
      </c>
      <c r="E794" t="s">
        <v>42</v>
      </c>
      <c r="F794" s="1">
        <v>45658</v>
      </c>
      <c r="G794" t="s">
        <v>16</v>
      </c>
      <c r="H794" s="2">
        <v>481720.05</v>
      </c>
      <c r="I794" s="2">
        <v>465628.95</v>
      </c>
      <c r="J794" s="2">
        <v>475187.66</v>
      </c>
      <c r="K794" s="2">
        <v>477221.47</v>
      </c>
      <c r="L794" s="2">
        <f t="shared" si="48"/>
        <v>-16091.099999999977</v>
      </c>
      <c r="M794" s="4">
        <f t="shared" si="49"/>
        <v>-3.340342591096214E-2</v>
      </c>
      <c r="N794" s="2">
        <f t="shared" si="50"/>
        <v>9558.7099999999627</v>
      </c>
      <c r="O794" s="6">
        <f t="shared" si="51"/>
        <v>1.0205285990057105</v>
      </c>
    </row>
    <row r="795" spans="1:15" x14ac:dyDescent="0.2">
      <c r="A795" t="s">
        <v>40</v>
      </c>
      <c r="B795" t="s">
        <v>41</v>
      </c>
      <c r="C795" t="s">
        <v>33</v>
      </c>
      <c r="D795" t="s">
        <v>14</v>
      </c>
      <c r="E795" t="s">
        <v>42</v>
      </c>
      <c r="F795" s="1">
        <v>45658</v>
      </c>
      <c r="G795" t="s">
        <v>17</v>
      </c>
      <c r="H795" s="2">
        <v>382568.9</v>
      </c>
      <c r="I795" s="2">
        <v>371100.51</v>
      </c>
      <c r="J795" s="2">
        <v>392593.61</v>
      </c>
      <c r="K795" s="2">
        <v>381062.89</v>
      </c>
      <c r="L795" s="2">
        <f t="shared" si="48"/>
        <v>-11468.390000000014</v>
      </c>
      <c r="M795" s="4">
        <f t="shared" si="49"/>
        <v>-2.9977319118203317E-2</v>
      </c>
      <c r="N795" s="2">
        <f t="shared" si="50"/>
        <v>21493.099999999977</v>
      </c>
      <c r="O795" s="6">
        <f t="shared" si="51"/>
        <v>1.0579171933770719</v>
      </c>
    </row>
    <row r="796" spans="1:15" x14ac:dyDescent="0.2">
      <c r="A796" t="s">
        <v>40</v>
      </c>
      <c r="B796" t="s">
        <v>41</v>
      </c>
      <c r="C796" t="s">
        <v>33</v>
      </c>
      <c r="D796" t="s">
        <v>14</v>
      </c>
      <c r="E796" t="s">
        <v>42</v>
      </c>
      <c r="F796" s="1">
        <v>45658</v>
      </c>
      <c r="G796" t="s">
        <v>18</v>
      </c>
      <c r="H796" s="2">
        <v>297002.11</v>
      </c>
      <c r="I796" s="2">
        <v>290083.56</v>
      </c>
      <c r="J796" s="2">
        <v>293810.09999999998</v>
      </c>
      <c r="K796" s="2">
        <v>292335.59000000003</v>
      </c>
      <c r="L796" s="2">
        <f t="shared" si="48"/>
        <v>-6918.5499999999884</v>
      </c>
      <c r="M796" s="4">
        <f t="shared" si="49"/>
        <v>-2.329461565104702E-2</v>
      </c>
      <c r="N796" s="2">
        <f t="shared" si="50"/>
        <v>3726.539999999979</v>
      </c>
      <c r="O796" s="6">
        <f t="shared" si="51"/>
        <v>1.012846436385433</v>
      </c>
    </row>
    <row r="797" spans="1:15" x14ac:dyDescent="0.2">
      <c r="A797" t="s">
        <v>40</v>
      </c>
      <c r="B797" t="s">
        <v>41</v>
      </c>
      <c r="C797" t="s">
        <v>33</v>
      </c>
      <c r="D797" t="s">
        <v>14</v>
      </c>
      <c r="E797" t="s">
        <v>42</v>
      </c>
      <c r="F797" s="1">
        <v>45658</v>
      </c>
      <c r="G797" t="s">
        <v>19</v>
      </c>
      <c r="H797" s="2">
        <v>205992.63</v>
      </c>
      <c r="I797" s="2">
        <v>212745.42</v>
      </c>
      <c r="J797" s="2">
        <v>202480.18</v>
      </c>
      <c r="K797" s="2">
        <v>212331.36</v>
      </c>
      <c r="L797" s="2">
        <f t="shared" si="48"/>
        <v>6752.7900000000081</v>
      </c>
      <c r="M797" s="4">
        <f t="shared" si="49"/>
        <v>3.2781706801840477E-2</v>
      </c>
      <c r="N797" s="2">
        <f t="shared" si="50"/>
        <v>-10265.24000000002</v>
      </c>
      <c r="O797" s="6">
        <f t="shared" si="51"/>
        <v>0.9517487144964154</v>
      </c>
    </row>
    <row r="798" spans="1:15" x14ac:dyDescent="0.2">
      <c r="A798" t="s">
        <v>40</v>
      </c>
      <c r="B798" t="s">
        <v>41</v>
      </c>
      <c r="C798" t="s">
        <v>33</v>
      </c>
      <c r="D798" t="s">
        <v>14</v>
      </c>
      <c r="E798" t="s">
        <v>42</v>
      </c>
      <c r="F798" s="1">
        <v>45658</v>
      </c>
      <c r="G798" t="s">
        <v>20</v>
      </c>
      <c r="H798" s="2">
        <v>48698.05</v>
      </c>
      <c r="I798" s="2">
        <v>48700.21</v>
      </c>
      <c r="J798" s="2">
        <v>48410.01</v>
      </c>
      <c r="K798" s="2">
        <v>49278.74</v>
      </c>
      <c r="L798" s="2">
        <f t="shared" si="48"/>
        <v>2.1599999999962165</v>
      </c>
      <c r="M798" s="4">
        <f t="shared" si="49"/>
        <v>4.4354958771372085E-5</v>
      </c>
      <c r="N798" s="2">
        <f t="shared" si="50"/>
        <v>-290.19999999999709</v>
      </c>
      <c r="O798" s="6">
        <f t="shared" si="51"/>
        <v>0.9940410934572973</v>
      </c>
    </row>
    <row r="799" spans="1:15" x14ac:dyDescent="0.2">
      <c r="A799" t="s">
        <v>40</v>
      </c>
      <c r="B799" t="s">
        <v>41</v>
      </c>
      <c r="C799" t="s">
        <v>33</v>
      </c>
      <c r="D799" t="s">
        <v>14</v>
      </c>
      <c r="E799" t="s">
        <v>42</v>
      </c>
      <c r="F799" s="1">
        <v>45658</v>
      </c>
      <c r="G799" t="s">
        <v>21</v>
      </c>
      <c r="H799" s="2">
        <v>75885.64</v>
      </c>
      <c r="I799" s="2">
        <v>78333.89</v>
      </c>
      <c r="J799" s="2">
        <v>75438.14</v>
      </c>
      <c r="K799" s="2">
        <v>78640.05</v>
      </c>
      <c r="L799" s="2">
        <f t="shared" si="48"/>
        <v>2448.25</v>
      </c>
      <c r="M799" s="4">
        <f t="shared" si="49"/>
        <v>3.2262362154420784E-2</v>
      </c>
      <c r="N799" s="2">
        <f t="shared" si="50"/>
        <v>-2895.75</v>
      </c>
      <c r="O799" s="6">
        <f t="shared" si="51"/>
        <v>0.96303324142334823</v>
      </c>
    </row>
    <row r="800" spans="1:15" x14ac:dyDescent="0.2">
      <c r="A800" t="s">
        <v>40</v>
      </c>
      <c r="B800" t="s">
        <v>41</v>
      </c>
      <c r="C800" t="s">
        <v>33</v>
      </c>
      <c r="D800" t="s">
        <v>14</v>
      </c>
      <c r="E800" t="s">
        <v>42</v>
      </c>
      <c r="F800" s="1">
        <v>45689</v>
      </c>
      <c r="G800" t="s">
        <v>16</v>
      </c>
      <c r="H800" s="2">
        <v>467431.17</v>
      </c>
      <c r="I800" s="2">
        <v>478853.82</v>
      </c>
      <c r="J800" s="2">
        <v>459010.76</v>
      </c>
      <c r="K800" s="2">
        <v>483043.65</v>
      </c>
      <c r="L800" s="2">
        <f t="shared" si="48"/>
        <v>11422.650000000023</v>
      </c>
      <c r="M800" s="4">
        <f t="shared" si="49"/>
        <v>2.4437073804898426E-2</v>
      </c>
      <c r="N800" s="2">
        <f t="shared" si="50"/>
        <v>-19843.059999999998</v>
      </c>
      <c r="O800" s="6">
        <f t="shared" si="51"/>
        <v>0.95856134132959403</v>
      </c>
    </row>
    <row r="801" spans="1:15" x14ac:dyDescent="0.2">
      <c r="A801" t="s">
        <v>40</v>
      </c>
      <c r="B801" t="s">
        <v>41</v>
      </c>
      <c r="C801" t="s">
        <v>33</v>
      </c>
      <c r="D801" t="s">
        <v>14</v>
      </c>
      <c r="E801" t="s">
        <v>42</v>
      </c>
      <c r="F801" s="1">
        <v>45689</v>
      </c>
      <c r="G801" t="s">
        <v>17</v>
      </c>
      <c r="H801" s="2">
        <v>372844.08</v>
      </c>
      <c r="I801" s="2">
        <v>377515.92</v>
      </c>
      <c r="J801" s="2">
        <v>366554.68</v>
      </c>
      <c r="K801" s="2">
        <v>378203</v>
      </c>
      <c r="L801" s="2">
        <f t="shared" si="48"/>
        <v>4671.8399999999674</v>
      </c>
      <c r="M801" s="4">
        <f t="shared" si="49"/>
        <v>1.2530278072270766E-2</v>
      </c>
      <c r="N801" s="2">
        <f t="shared" si="50"/>
        <v>-10961.239999999991</v>
      </c>
      <c r="O801" s="6">
        <f t="shared" si="51"/>
        <v>0.97096482712570109</v>
      </c>
    </row>
    <row r="802" spans="1:15" x14ac:dyDescent="0.2">
      <c r="A802" t="s">
        <v>40</v>
      </c>
      <c r="B802" t="s">
        <v>41</v>
      </c>
      <c r="C802" t="s">
        <v>33</v>
      </c>
      <c r="D802" t="s">
        <v>14</v>
      </c>
      <c r="E802" t="s">
        <v>42</v>
      </c>
      <c r="F802" s="1">
        <v>45689</v>
      </c>
      <c r="G802" t="s">
        <v>18</v>
      </c>
      <c r="H802" s="2">
        <v>290589.86</v>
      </c>
      <c r="I802" s="2">
        <v>300297.48</v>
      </c>
      <c r="J802" s="2">
        <v>293063.24</v>
      </c>
      <c r="K802" s="2">
        <v>298957.56</v>
      </c>
      <c r="L802" s="2">
        <f t="shared" si="48"/>
        <v>9707.6199999999953</v>
      </c>
      <c r="M802" s="4">
        <f t="shared" si="49"/>
        <v>3.3406602694257798E-2</v>
      </c>
      <c r="N802" s="2">
        <f t="shared" si="50"/>
        <v>-7234.2399999999907</v>
      </c>
      <c r="O802" s="6">
        <f t="shared" si="51"/>
        <v>0.97590975455405093</v>
      </c>
    </row>
    <row r="803" spans="1:15" x14ac:dyDescent="0.2">
      <c r="A803" t="s">
        <v>40</v>
      </c>
      <c r="B803" t="s">
        <v>41</v>
      </c>
      <c r="C803" t="s">
        <v>33</v>
      </c>
      <c r="D803" t="s">
        <v>14</v>
      </c>
      <c r="E803" t="s">
        <v>42</v>
      </c>
      <c r="F803" s="1">
        <v>45689</v>
      </c>
      <c r="G803" t="s">
        <v>19</v>
      </c>
      <c r="H803" s="2">
        <v>217683.5</v>
      </c>
      <c r="I803" s="2">
        <v>216344.7</v>
      </c>
      <c r="J803" s="2">
        <v>217959.55</v>
      </c>
      <c r="K803" s="2">
        <v>214817.34</v>
      </c>
      <c r="L803" s="2">
        <f t="shared" si="48"/>
        <v>-1338.7999999999884</v>
      </c>
      <c r="M803" s="4">
        <f t="shared" si="49"/>
        <v>-6.1502134980372346E-3</v>
      </c>
      <c r="N803" s="2">
        <f t="shared" si="50"/>
        <v>1614.8499999999767</v>
      </c>
      <c r="O803" s="6">
        <f t="shared" si="51"/>
        <v>1.0074642457152867</v>
      </c>
    </row>
    <row r="804" spans="1:15" x14ac:dyDescent="0.2">
      <c r="A804" t="s">
        <v>40</v>
      </c>
      <c r="B804" t="s">
        <v>41</v>
      </c>
      <c r="C804" t="s">
        <v>33</v>
      </c>
      <c r="D804" t="s">
        <v>14</v>
      </c>
      <c r="E804" t="s">
        <v>42</v>
      </c>
      <c r="F804" s="1">
        <v>45689</v>
      </c>
      <c r="G804" t="s">
        <v>20</v>
      </c>
      <c r="H804" s="2">
        <v>49960.49</v>
      </c>
      <c r="I804" s="2">
        <v>51099.42</v>
      </c>
      <c r="J804" s="2">
        <v>51352.91</v>
      </c>
      <c r="K804" s="2">
        <v>50741.51</v>
      </c>
      <c r="L804" s="2">
        <f t="shared" si="48"/>
        <v>1138.9300000000003</v>
      </c>
      <c r="M804" s="4">
        <f t="shared" si="49"/>
        <v>2.2796613884291373E-2</v>
      </c>
      <c r="N804" s="2">
        <f t="shared" si="50"/>
        <v>253.49000000000524</v>
      </c>
      <c r="O804" s="6">
        <f t="shared" si="51"/>
        <v>1.0049607216676824</v>
      </c>
    </row>
    <row r="805" spans="1:15" x14ac:dyDescent="0.2">
      <c r="A805" t="s">
        <v>40</v>
      </c>
      <c r="B805" t="s">
        <v>41</v>
      </c>
      <c r="C805" t="s">
        <v>33</v>
      </c>
      <c r="D805" t="s">
        <v>14</v>
      </c>
      <c r="E805" t="s">
        <v>42</v>
      </c>
      <c r="F805" s="1">
        <v>45689</v>
      </c>
      <c r="G805" t="s">
        <v>21</v>
      </c>
      <c r="H805" s="2">
        <v>77854.91</v>
      </c>
      <c r="I805" s="2">
        <v>80329.3</v>
      </c>
      <c r="J805" s="2">
        <v>77114.05</v>
      </c>
      <c r="K805" s="2">
        <v>80500.69</v>
      </c>
      <c r="L805" s="2">
        <f t="shared" si="48"/>
        <v>2474.3899999999994</v>
      </c>
      <c r="M805" s="4">
        <f t="shared" si="49"/>
        <v>3.1782067438007433E-2</v>
      </c>
      <c r="N805" s="2">
        <f t="shared" si="50"/>
        <v>-3215.25</v>
      </c>
      <c r="O805" s="6">
        <f t="shared" si="51"/>
        <v>0.95997413148129018</v>
      </c>
    </row>
    <row r="806" spans="1:15" x14ac:dyDescent="0.2">
      <c r="A806" t="s">
        <v>40</v>
      </c>
      <c r="B806" t="s">
        <v>41</v>
      </c>
      <c r="C806" t="s">
        <v>33</v>
      </c>
      <c r="D806" t="s">
        <v>14</v>
      </c>
      <c r="E806" t="s">
        <v>42</v>
      </c>
      <c r="F806" s="1">
        <v>45717</v>
      </c>
      <c r="G806" t="s">
        <v>16</v>
      </c>
      <c r="H806" s="2">
        <v>466126</v>
      </c>
      <c r="I806" s="2">
        <v>459136.44</v>
      </c>
      <c r="J806" s="2">
        <v>467939.42</v>
      </c>
      <c r="K806" s="2">
        <v>462095.26</v>
      </c>
      <c r="L806" s="2">
        <f t="shared" si="48"/>
        <v>-6989.5599999999977</v>
      </c>
      <c r="M806" s="4">
        <f t="shared" si="49"/>
        <v>-1.4995001351565881E-2</v>
      </c>
      <c r="N806" s="2">
        <f t="shared" si="50"/>
        <v>8802.9799999999814</v>
      </c>
      <c r="O806" s="6">
        <f t="shared" si="51"/>
        <v>1.0191729064240687</v>
      </c>
    </row>
    <row r="807" spans="1:15" x14ac:dyDescent="0.2">
      <c r="A807" t="s">
        <v>40</v>
      </c>
      <c r="B807" t="s">
        <v>41</v>
      </c>
      <c r="C807" t="s">
        <v>33</v>
      </c>
      <c r="D807" t="s">
        <v>14</v>
      </c>
      <c r="E807" t="s">
        <v>42</v>
      </c>
      <c r="F807" s="1">
        <v>45717</v>
      </c>
      <c r="G807" t="s">
        <v>17</v>
      </c>
      <c r="H807" s="2">
        <v>384122.5</v>
      </c>
      <c r="I807" s="2">
        <v>389168.14</v>
      </c>
      <c r="J807" s="2">
        <v>380413.7</v>
      </c>
      <c r="K807" s="2">
        <v>389963.93</v>
      </c>
      <c r="L807" s="2">
        <f t="shared" si="48"/>
        <v>5045.640000000014</v>
      </c>
      <c r="M807" s="4">
        <f t="shared" si="49"/>
        <v>1.3135497139584413E-2</v>
      </c>
      <c r="N807" s="2">
        <f t="shared" si="50"/>
        <v>-8754.4400000000023</v>
      </c>
      <c r="O807" s="6">
        <f t="shared" si="51"/>
        <v>0.97750473612767996</v>
      </c>
    </row>
    <row r="808" spans="1:15" x14ac:dyDescent="0.2">
      <c r="A808" t="s">
        <v>40</v>
      </c>
      <c r="B808" t="s">
        <v>41</v>
      </c>
      <c r="C808" t="s">
        <v>33</v>
      </c>
      <c r="D808" t="s">
        <v>14</v>
      </c>
      <c r="E808" t="s">
        <v>42</v>
      </c>
      <c r="F808" s="1">
        <v>45717</v>
      </c>
      <c r="G808" t="s">
        <v>18</v>
      </c>
      <c r="H808" s="2">
        <v>286317.09999999998</v>
      </c>
      <c r="I808" s="2">
        <v>307368.82</v>
      </c>
      <c r="J808" s="2">
        <v>293863.52</v>
      </c>
      <c r="K808" s="2">
        <v>296745.99</v>
      </c>
      <c r="L808" s="2">
        <f t="shared" si="48"/>
        <v>21051.72000000003</v>
      </c>
      <c r="M808" s="4">
        <f t="shared" si="49"/>
        <v>7.3525891398033977E-2</v>
      </c>
      <c r="N808" s="2">
        <f t="shared" si="50"/>
        <v>-13505.299999999988</v>
      </c>
      <c r="O808" s="6">
        <f t="shared" si="51"/>
        <v>0.95606158100226302</v>
      </c>
    </row>
    <row r="809" spans="1:15" x14ac:dyDescent="0.2">
      <c r="A809" t="s">
        <v>40</v>
      </c>
      <c r="B809" t="s">
        <v>41</v>
      </c>
      <c r="C809" t="s">
        <v>33</v>
      </c>
      <c r="D809" t="s">
        <v>14</v>
      </c>
      <c r="E809" t="s">
        <v>42</v>
      </c>
      <c r="F809" s="1">
        <v>45717</v>
      </c>
      <c r="G809" t="s">
        <v>19</v>
      </c>
      <c r="H809" s="2">
        <v>210896.75</v>
      </c>
      <c r="I809" s="2">
        <v>217224.15</v>
      </c>
      <c r="J809" s="2">
        <v>207423.04</v>
      </c>
      <c r="K809" s="2">
        <v>212800.12</v>
      </c>
      <c r="L809" s="2">
        <f t="shared" si="48"/>
        <v>6327.3999999999942</v>
      </c>
      <c r="M809" s="4">
        <f t="shared" si="49"/>
        <v>3.0002358974237364E-2</v>
      </c>
      <c r="N809" s="2">
        <f t="shared" si="50"/>
        <v>-9801.109999999986</v>
      </c>
      <c r="O809" s="6">
        <f t="shared" si="51"/>
        <v>0.95488020093530124</v>
      </c>
    </row>
    <row r="810" spans="1:15" x14ac:dyDescent="0.2">
      <c r="A810" t="s">
        <v>40</v>
      </c>
      <c r="B810" t="s">
        <v>41</v>
      </c>
      <c r="C810" t="s">
        <v>33</v>
      </c>
      <c r="D810" t="s">
        <v>14</v>
      </c>
      <c r="E810" t="s">
        <v>42</v>
      </c>
      <c r="F810" s="1">
        <v>45717</v>
      </c>
      <c r="G810" t="s">
        <v>20</v>
      </c>
      <c r="H810" s="2">
        <v>51547.99</v>
      </c>
      <c r="I810" s="2">
        <v>53175.51</v>
      </c>
      <c r="J810" s="2">
        <v>52848.13</v>
      </c>
      <c r="K810" s="2">
        <v>53273.65</v>
      </c>
      <c r="L810" s="2">
        <f t="shared" si="48"/>
        <v>1627.5200000000041</v>
      </c>
      <c r="M810" s="4">
        <f t="shared" si="49"/>
        <v>3.1572909050382063E-2</v>
      </c>
      <c r="N810" s="2">
        <f t="shared" si="50"/>
        <v>-327.38000000000466</v>
      </c>
      <c r="O810" s="6">
        <f t="shared" si="51"/>
        <v>0.99384340648542902</v>
      </c>
    </row>
    <row r="811" spans="1:15" x14ac:dyDescent="0.2">
      <c r="A811" t="s">
        <v>40</v>
      </c>
      <c r="B811" t="s">
        <v>41</v>
      </c>
      <c r="C811" t="s">
        <v>33</v>
      </c>
      <c r="D811" t="s">
        <v>14</v>
      </c>
      <c r="E811" t="s">
        <v>42</v>
      </c>
      <c r="F811" s="1">
        <v>45717</v>
      </c>
      <c r="G811" t="s">
        <v>21</v>
      </c>
      <c r="H811" s="2">
        <v>77268.83</v>
      </c>
      <c r="I811" s="2">
        <v>78607.55</v>
      </c>
      <c r="J811" s="2">
        <v>78539.58</v>
      </c>
      <c r="K811" s="2">
        <v>77679.600000000006</v>
      </c>
      <c r="L811" s="2">
        <f t="shared" si="48"/>
        <v>1338.7200000000012</v>
      </c>
      <c r="M811" s="4">
        <f t="shared" si="49"/>
        <v>1.7325485580666888E-2</v>
      </c>
      <c r="N811" s="2">
        <f t="shared" si="50"/>
        <v>-67.970000000001164</v>
      </c>
      <c r="O811" s="6">
        <f t="shared" si="51"/>
        <v>0.99913532478750444</v>
      </c>
    </row>
    <row r="812" spans="1:15" x14ac:dyDescent="0.2">
      <c r="A812" t="s">
        <v>40</v>
      </c>
      <c r="B812" t="s">
        <v>41</v>
      </c>
      <c r="C812" t="s">
        <v>33</v>
      </c>
      <c r="D812" t="s">
        <v>14</v>
      </c>
      <c r="E812" t="s">
        <v>42</v>
      </c>
      <c r="F812" s="1">
        <v>45748</v>
      </c>
      <c r="G812" t="s">
        <v>16</v>
      </c>
      <c r="H812" s="2">
        <v>492019.6</v>
      </c>
      <c r="I812" s="2">
        <v>482072.75</v>
      </c>
      <c r="J812" s="2">
        <v>483566.12</v>
      </c>
      <c r="K812" s="2">
        <v>480247.12</v>
      </c>
      <c r="L812" s="2">
        <f t="shared" si="48"/>
        <v>-9946.8499999999767</v>
      </c>
      <c r="M812" s="4">
        <f t="shared" si="49"/>
        <v>-2.0216369429185296E-2</v>
      </c>
      <c r="N812" s="2">
        <f t="shared" si="50"/>
        <v>1493.3699999999953</v>
      </c>
      <c r="O812" s="6">
        <f t="shared" si="51"/>
        <v>1.0030978104445853</v>
      </c>
    </row>
    <row r="813" spans="1:15" x14ac:dyDescent="0.2">
      <c r="A813" t="s">
        <v>40</v>
      </c>
      <c r="B813" t="s">
        <v>41</v>
      </c>
      <c r="C813" t="s">
        <v>33</v>
      </c>
      <c r="D813" t="s">
        <v>14</v>
      </c>
      <c r="E813" t="s">
        <v>42</v>
      </c>
      <c r="F813" s="1">
        <v>45748</v>
      </c>
      <c r="G813" t="s">
        <v>17</v>
      </c>
      <c r="H813" s="2">
        <v>383635.04</v>
      </c>
      <c r="I813" s="2">
        <v>387358.78</v>
      </c>
      <c r="J813" s="2">
        <v>381805.74</v>
      </c>
      <c r="K813" s="2">
        <v>390411.59</v>
      </c>
      <c r="L813" s="2">
        <f t="shared" si="48"/>
        <v>3723.7400000000489</v>
      </c>
      <c r="M813" s="4">
        <f t="shared" si="49"/>
        <v>9.7064647692245449E-3</v>
      </c>
      <c r="N813" s="2">
        <f t="shared" si="50"/>
        <v>-5553.0400000000373</v>
      </c>
      <c r="O813" s="6">
        <f t="shared" si="51"/>
        <v>0.9856643497276607</v>
      </c>
    </row>
    <row r="814" spans="1:15" x14ac:dyDescent="0.2">
      <c r="A814" t="s">
        <v>40</v>
      </c>
      <c r="B814" t="s">
        <v>41</v>
      </c>
      <c r="C814" t="s">
        <v>33</v>
      </c>
      <c r="D814" t="s">
        <v>14</v>
      </c>
      <c r="E814" t="s">
        <v>42</v>
      </c>
      <c r="F814" s="1">
        <v>45748</v>
      </c>
      <c r="G814" t="s">
        <v>18</v>
      </c>
      <c r="H814" s="2">
        <v>298413.49</v>
      </c>
      <c r="I814" s="2">
        <v>324629.63</v>
      </c>
      <c r="J814" s="2">
        <v>305941.81</v>
      </c>
      <c r="K814" s="2">
        <v>320678.99</v>
      </c>
      <c r="L814" s="2">
        <f t="shared" si="48"/>
        <v>26216.140000000014</v>
      </c>
      <c r="M814" s="4">
        <f t="shared" si="49"/>
        <v>8.7851725469917652E-2</v>
      </c>
      <c r="N814" s="2">
        <f t="shared" si="50"/>
        <v>-18687.820000000007</v>
      </c>
      <c r="O814" s="6">
        <f t="shared" si="51"/>
        <v>0.94243341250150203</v>
      </c>
    </row>
    <row r="815" spans="1:15" x14ac:dyDescent="0.2">
      <c r="A815" t="s">
        <v>40</v>
      </c>
      <c r="B815" t="s">
        <v>41</v>
      </c>
      <c r="C815" t="s">
        <v>33</v>
      </c>
      <c r="D815" t="s">
        <v>14</v>
      </c>
      <c r="E815" t="s">
        <v>42</v>
      </c>
      <c r="F815" s="1">
        <v>45748</v>
      </c>
      <c r="G815" t="s">
        <v>19</v>
      </c>
      <c r="H815" s="2">
        <v>214883.01</v>
      </c>
      <c r="I815" s="2">
        <v>212605.68</v>
      </c>
      <c r="J815" s="2">
        <v>220047.89</v>
      </c>
      <c r="K815" s="2">
        <v>215000.43</v>
      </c>
      <c r="L815" s="2">
        <f t="shared" si="48"/>
        <v>-2277.3300000000163</v>
      </c>
      <c r="M815" s="4">
        <f t="shared" si="49"/>
        <v>-1.0597999348575842E-2</v>
      </c>
      <c r="N815" s="2">
        <f t="shared" si="50"/>
        <v>7442.210000000021</v>
      </c>
      <c r="O815" s="6">
        <f t="shared" si="51"/>
        <v>1.0350047562228819</v>
      </c>
    </row>
    <row r="816" spans="1:15" x14ac:dyDescent="0.2">
      <c r="A816" t="s">
        <v>40</v>
      </c>
      <c r="B816" t="s">
        <v>41</v>
      </c>
      <c r="C816" t="s">
        <v>33</v>
      </c>
      <c r="D816" t="s">
        <v>14</v>
      </c>
      <c r="E816" t="s">
        <v>42</v>
      </c>
      <c r="F816" s="1">
        <v>45748</v>
      </c>
      <c r="G816" t="s">
        <v>20</v>
      </c>
      <c r="H816" s="2">
        <v>50359.46</v>
      </c>
      <c r="I816" s="2">
        <v>52106.68</v>
      </c>
      <c r="J816" s="2">
        <v>49361.59</v>
      </c>
      <c r="K816" s="2">
        <v>51152.33</v>
      </c>
      <c r="L816" s="2">
        <f t="shared" si="48"/>
        <v>1747.2200000000012</v>
      </c>
      <c r="M816" s="4">
        <f t="shared" si="49"/>
        <v>3.4694970915097205E-2</v>
      </c>
      <c r="N816" s="2">
        <f t="shared" si="50"/>
        <v>-2745.0900000000038</v>
      </c>
      <c r="O816" s="6">
        <f t="shared" si="51"/>
        <v>0.94731788707321207</v>
      </c>
    </row>
    <row r="817" spans="1:15" x14ac:dyDescent="0.2">
      <c r="A817" t="s">
        <v>40</v>
      </c>
      <c r="B817" t="s">
        <v>41</v>
      </c>
      <c r="C817" t="s">
        <v>33</v>
      </c>
      <c r="D817" t="s">
        <v>14</v>
      </c>
      <c r="E817" t="s">
        <v>42</v>
      </c>
      <c r="F817" s="1">
        <v>45748</v>
      </c>
      <c r="G817" t="s">
        <v>21</v>
      </c>
      <c r="H817" s="2">
        <v>82453.509999999995</v>
      </c>
      <c r="I817" s="2">
        <v>81066.09</v>
      </c>
      <c r="J817" s="2">
        <v>83235.86</v>
      </c>
      <c r="K817" s="2">
        <v>81125.39</v>
      </c>
      <c r="L817" s="2">
        <f t="shared" si="48"/>
        <v>-1387.4199999999983</v>
      </c>
      <c r="M817" s="4">
        <f t="shared" si="49"/>
        <v>-1.6826694218354057E-2</v>
      </c>
      <c r="N817" s="2">
        <f t="shared" si="50"/>
        <v>2169.7700000000041</v>
      </c>
      <c r="O817" s="6">
        <f t="shared" si="51"/>
        <v>1.0267654453298538</v>
      </c>
    </row>
    <row r="818" spans="1:15" x14ac:dyDescent="0.2">
      <c r="A818" t="s">
        <v>40</v>
      </c>
      <c r="B818" t="s">
        <v>41</v>
      </c>
      <c r="C818" t="s">
        <v>33</v>
      </c>
      <c r="D818" t="s">
        <v>14</v>
      </c>
      <c r="E818" t="s">
        <v>42</v>
      </c>
      <c r="F818" s="1">
        <v>45778</v>
      </c>
      <c r="G818" t="s">
        <v>16</v>
      </c>
      <c r="H818" s="2">
        <v>504885.07</v>
      </c>
      <c r="I818" s="2">
        <v>507814.5</v>
      </c>
      <c r="J818" s="2">
        <v>503023.73</v>
      </c>
      <c r="K818" s="2">
        <v>507793.14</v>
      </c>
      <c r="L818" s="2">
        <f t="shared" si="48"/>
        <v>2929.429999999993</v>
      </c>
      <c r="M818" s="4">
        <f t="shared" si="49"/>
        <v>5.8021719675727251E-3</v>
      </c>
      <c r="N818" s="2">
        <f t="shared" si="50"/>
        <v>-4790.7700000000186</v>
      </c>
      <c r="O818" s="6">
        <f t="shared" si="51"/>
        <v>0.99056590546351075</v>
      </c>
    </row>
    <row r="819" spans="1:15" x14ac:dyDescent="0.2">
      <c r="A819" t="s">
        <v>40</v>
      </c>
      <c r="B819" t="s">
        <v>41</v>
      </c>
      <c r="C819" t="s">
        <v>33</v>
      </c>
      <c r="D819" t="s">
        <v>14</v>
      </c>
      <c r="E819" t="s">
        <v>42</v>
      </c>
      <c r="F819" s="1">
        <v>45778</v>
      </c>
      <c r="G819" t="s">
        <v>17</v>
      </c>
      <c r="H819" s="2">
        <v>396064.01</v>
      </c>
      <c r="I819" s="2">
        <v>385352.67</v>
      </c>
      <c r="J819" s="2">
        <v>389801.03</v>
      </c>
      <c r="K819" s="2">
        <v>394867.81</v>
      </c>
      <c r="L819" s="2">
        <f t="shared" si="48"/>
        <v>-10711.340000000026</v>
      </c>
      <c r="M819" s="4">
        <f t="shared" si="49"/>
        <v>-2.7044466877967594E-2</v>
      </c>
      <c r="N819" s="2">
        <f t="shared" si="50"/>
        <v>4448.3600000000442</v>
      </c>
      <c r="O819" s="6">
        <f t="shared" si="51"/>
        <v>1.0115436075738105</v>
      </c>
    </row>
    <row r="820" spans="1:15" x14ac:dyDescent="0.2">
      <c r="A820" t="s">
        <v>40</v>
      </c>
      <c r="B820" t="s">
        <v>41</v>
      </c>
      <c r="C820" t="s">
        <v>33</v>
      </c>
      <c r="D820" t="s">
        <v>14</v>
      </c>
      <c r="E820" t="s">
        <v>42</v>
      </c>
      <c r="F820" s="1">
        <v>45778</v>
      </c>
      <c r="G820" t="s">
        <v>18</v>
      </c>
      <c r="H820" s="2">
        <v>293347.18</v>
      </c>
      <c r="I820" s="2">
        <v>304513.31</v>
      </c>
      <c r="J820" s="2">
        <v>286394.36</v>
      </c>
      <c r="K820" s="2">
        <v>297509.11</v>
      </c>
      <c r="L820" s="2">
        <f t="shared" si="48"/>
        <v>11166.130000000005</v>
      </c>
      <c r="M820" s="4">
        <f t="shared" si="49"/>
        <v>3.8064555452689219E-2</v>
      </c>
      <c r="N820" s="2">
        <f t="shared" si="50"/>
        <v>-18118.950000000012</v>
      </c>
      <c r="O820" s="6">
        <f t="shared" si="51"/>
        <v>0.94049865997647197</v>
      </c>
    </row>
    <row r="821" spans="1:15" x14ac:dyDescent="0.2">
      <c r="A821" t="s">
        <v>40</v>
      </c>
      <c r="B821" t="s">
        <v>41</v>
      </c>
      <c r="C821" t="s">
        <v>33</v>
      </c>
      <c r="D821" t="s">
        <v>14</v>
      </c>
      <c r="E821" t="s">
        <v>42</v>
      </c>
      <c r="F821" s="1">
        <v>45778</v>
      </c>
      <c r="G821" t="s">
        <v>19</v>
      </c>
      <c r="H821" s="2">
        <v>212584.12</v>
      </c>
      <c r="I821" s="2">
        <v>211228.6</v>
      </c>
      <c r="J821" s="2">
        <v>215673.60000000001</v>
      </c>
      <c r="K821" s="2">
        <v>214759.55</v>
      </c>
      <c r="L821" s="2">
        <f t="shared" si="48"/>
        <v>-1355.5199999999895</v>
      </c>
      <c r="M821" s="4">
        <f t="shared" si="49"/>
        <v>-6.3763934954313125E-3</v>
      </c>
      <c r="N821" s="2">
        <f t="shared" si="50"/>
        <v>4445</v>
      </c>
      <c r="O821" s="6">
        <f t="shared" si="51"/>
        <v>1.0210435518675027</v>
      </c>
    </row>
    <row r="822" spans="1:15" x14ac:dyDescent="0.2">
      <c r="A822" t="s">
        <v>40</v>
      </c>
      <c r="B822" t="s">
        <v>41</v>
      </c>
      <c r="C822" t="s">
        <v>33</v>
      </c>
      <c r="D822" t="s">
        <v>14</v>
      </c>
      <c r="E822" t="s">
        <v>42</v>
      </c>
      <c r="F822" s="1">
        <v>45778</v>
      </c>
      <c r="G822" t="s">
        <v>20</v>
      </c>
      <c r="H822" s="2">
        <v>53870.33</v>
      </c>
      <c r="I822" s="2">
        <v>53521.54</v>
      </c>
      <c r="J822" s="2">
        <v>52278.38</v>
      </c>
      <c r="K822" s="2">
        <v>54373.77</v>
      </c>
      <c r="L822" s="2">
        <f t="shared" si="48"/>
        <v>-348.79000000000087</v>
      </c>
      <c r="M822" s="4">
        <f t="shared" si="49"/>
        <v>-6.4746215588432606E-3</v>
      </c>
      <c r="N822" s="2">
        <f t="shared" si="50"/>
        <v>-1243.1600000000035</v>
      </c>
      <c r="O822" s="6">
        <f t="shared" si="51"/>
        <v>0.97677271618118611</v>
      </c>
    </row>
    <row r="823" spans="1:15" x14ac:dyDescent="0.2">
      <c r="A823" t="s">
        <v>40</v>
      </c>
      <c r="B823" t="s">
        <v>41</v>
      </c>
      <c r="C823" t="s">
        <v>33</v>
      </c>
      <c r="D823" t="s">
        <v>14</v>
      </c>
      <c r="E823" t="s">
        <v>42</v>
      </c>
      <c r="F823" s="1">
        <v>45778</v>
      </c>
      <c r="G823" t="s">
        <v>21</v>
      </c>
      <c r="H823" s="2">
        <v>80290.34</v>
      </c>
      <c r="I823" s="2">
        <v>81629.66</v>
      </c>
      <c r="J823" s="2">
        <v>78561.179999999993</v>
      </c>
      <c r="K823" s="2">
        <v>80870.509999999995</v>
      </c>
      <c r="L823" s="2">
        <f t="shared" si="48"/>
        <v>1339.320000000007</v>
      </c>
      <c r="M823" s="4">
        <f t="shared" si="49"/>
        <v>1.6680960623656683E-2</v>
      </c>
      <c r="N823" s="2">
        <f t="shared" si="50"/>
        <v>-3068.4800000000105</v>
      </c>
      <c r="O823" s="6">
        <f t="shared" si="51"/>
        <v>0.96240974175318128</v>
      </c>
    </row>
    <row r="824" spans="1:15" x14ac:dyDescent="0.2">
      <c r="A824" t="s">
        <v>40</v>
      </c>
      <c r="B824" t="s">
        <v>41</v>
      </c>
      <c r="C824" t="s">
        <v>33</v>
      </c>
      <c r="D824" t="s">
        <v>14</v>
      </c>
      <c r="E824" t="s">
        <v>42</v>
      </c>
      <c r="F824" s="1">
        <v>45809</v>
      </c>
      <c r="G824" t="s">
        <v>16</v>
      </c>
      <c r="H824" s="2">
        <v>505548.84</v>
      </c>
      <c r="I824" s="2">
        <v>507311.09</v>
      </c>
      <c r="J824" s="2">
        <v>513149.71</v>
      </c>
      <c r="K824" s="2">
        <v>503115.38</v>
      </c>
      <c r="L824" s="2">
        <f t="shared" si="48"/>
        <v>1762.25</v>
      </c>
      <c r="M824" s="4">
        <f t="shared" si="49"/>
        <v>3.4858155346573438E-3</v>
      </c>
      <c r="N824" s="2">
        <f t="shared" si="50"/>
        <v>5838.6199999999953</v>
      </c>
      <c r="O824" s="6">
        <f t="shared" si="51"/>
        <v>1.0115089540029569</v>
      </c>
    </row>
    <row r="825" spans="1:15" x14ac:dyDescent="0.2">
      <c r="A825" t="s">
        <v>40</v>
      </c>
      <c r="B825" t="s">
        <v>41</v>
      </c>
      <c r="C825" t="s">
        <v>33</v>
      </c>
      <c r="D825" t="s">
        <v>14</v>
      </c>
      <c r="E825" t="s">
        <v>42</v>
      </c>
      <c r="F825" s="1">
        <v>45809</v>
      </c>
      <c r="G825" t="s">
        <v>17</v>
      </c>
      <c r="H825" s="2">
        <v>396932.6</v>
      </c>
      <c r="I825" s="2">
        <v>409122.9</v>
      </c>
      <c r="J825" s="2">
        <v>406736.15</v>
      </c>
      <c r="K825" s="2">
        <v>409158.11</v>
      </c>
      <c r="L825" s="2">
        <f t="shared" si="48"/>
        <v>12190.300000000047</v>
      </c>
      <c r="M825" s="4">
        <f t="shared" si="49"/>
        <v>3.07112592918799E-2</v>
      </c>
      <c r="N825" s="2">
        <f t="shared" si="50"/>
        <v>-2386.75</v>
      </c>
      <c r="O825" s="6">
        <f t="shared" si="51"/>
        <v>0.99416617842706922</v>
      </c>
    </row>
    <row r="826" spans="1:15" x14ac:dyDescent="0.2">
      <c r="A826" t="s">
        <v>40</v>
      </c>
      <c r="B826" t="s">
        <v>41</v>
      </c>
      <c r="C826" t="s">
        <v>33</v>
      </c>
      <c r="D826" t="s">
        <v>14</v>
      </c>
      <c r="E826" t="s">
        <v>42</v>
      </c>
      <c r="F826" s="1">
        <v>45809</v>
      </c>
      <c r="G826" t="s">
        <v>18</v>
      </c>
      <c r="H826" s="2">
        <v>314099.20000000001</v>
      </c>
      <c r="I826" s="2">
        <v>340637.84</v>
      </c>
      <c r="J826" s="2">
        <v>312857.55</v>
      </c>
      <c r="K826" s="2">
        <v>330973.15000000002</v>
      </c>
      <c r="L826" s="2">
        <f t="shared" si="48"/>
        <v>26538.640000000014</v>
      </c>
      <c r="M826" s="4">
        <f t="shared" si="49"/>
        <v>8.4491269000366798E-2</v>
      </c>
      <c r="N826" s="2">
        <f t="shared" si="50"/>
        <v>-27780.290000000037</v>
      </c>
      <c r="O826" s="6">
        <f t="shared" si="51"/>
        <v>0.91844625952301706</v>
      </c>
    </row>
    <row r="827" spans="1:15" x14ac:dyDescent="0.2">
      <c r="A827" t="s">
        <v>40</v>
      </c>
      <c r="B827" t="s">
        <v>41</v>
      </c>
      <c r="C827" t="s">
        <v>33</v>
      </c>
      <c r="D827" t="s">
        <v>14</v>
      </c>
      <c r="E827" t="s">
        <v>42</v>
      </c>
      <c r="F827" s="1">
        <v>45809</v>
      </c>
      <c r="G827" t="s">
        <v>19</v>
      </c>
      <c r="H827" s="2">
        <v>222846.07</v>
      </c>
      <c r="I827" s="2">
        <v>224040.06</v>
      </c>
      <c r="J827" s="2">
        <v>223751.7</v>
      </c>
      <c r="K827" s="2">
        <v>226129.81</v>
      </c>
      <c r="L827" s="2">
        <f t="shared" si="48"/>
        <v>1193.9899999999907</v>
      </c>
      <c r="M827" s="4">
        <f t="shared" si="49"/>
        <v>5.3579136486454106E-3</v>
      </c>
      <c r="N827" s="2">
        <f t="shared" si="50"/>
        <v>-288.35999999998603</v>
      </c>
      <c r="O827" s="6">
        <f t="shared" si="51"/>
        <v>0.99871290875390772</v>
      </c>
    </row>
    <row r="828" spans="1:15" x14ac:dyDescent="0.2">
      <c r="A828" t="s">
        <v>40</v>
      </c>
      <c r="B828" t="s">
        <v>41</v>
      </c>
      <c r="C828" t="s">
        <v>33</v>
      </c>
      <c r="D828" t="s">
        <v>14</v>
      </c>
      <c r="E828" t="s">
        <v>42</v>
      </c>
      <c r="F828" s="1">
        <v>45809</v>
      </c>
      <c r="G828" t="s">
        <v>20</v>
      </c>
      <c r="H828" s="2">
        <v>52857.39</v>
      </c>
      <c r="I828" s="2">
        <v>54110.68</v>
      </c>
      <c r="J828" s="2">
        <v>52442.19</v>
      </c>
      <c r="K828" s="2">
        <v>53468.22</v>
      </c>
      <c r="L828" s="2">
        <f t="shared" si="48"/>
        <v>1253.2900000000009</v>
      </c>
      <c r="M828" s="4">
        <f t="shared" si="49"/>
        <v>2.3710781027969804E-2</v>
      </c>
      <c r="N828" s="2">
        <f t="shared" si="50"/>
        <v>-1668.489999999998</v>
      </c>
      <c r="O828" s="6">
        <f t="shared" si="51"/>
        <v>0.96916523688114808</v>
      </c>
    </row>
    <row r="829" spans="1:15" x14ac:dyDescent="0.2">
      <c r="A829" t="s">
        <v>40</v>
      </c>
      <c r="B829" t="s">
        <v>41</v>
      </c>
      <c r="C829" t="s">
        <v>33</v>
      </c>
      <c r="D829" t="s">
        <v>14</v>
      </c>
      <c r="E829" t="s">
        <v>42</v>
      </c>
      <c r="F829" s="1">
        <v>45809</v>
      </c>
      <c r="G829" t="s">
        <v>21</v>
      </c>
      <c r="H829" s="2">
        <v>85058.9</v>
      </c>
      <c r="I829" s="2">
        <v>82142.28</v>
      </c>
      <c r="J829" s="2">
        <v>84840.87</v>
      </c>
      <c r="K829" s="2">
        <v>83703.539999999994</v>
      </c>
      <c r="L829" s="2">
        <f t="shared" si="48"/>
        <v>-2916.6199999999953</v>
      </c>
      <c r="M829" s="4">
        <f t="shared" si="49"/>
        <v>-3.4289415922378441E-2</v>
      </c>
      <c r="N829" s="2">
        <f t="shared" si="50"/>
        <v>2698.5899999999965</v>
      </c>
      <c r="O829" s="6">
        <f t="shared" si="51"/>
        <v>1.0328526308254409</v>
      </c>
    </row>
    <row r="830" spans="1:15" x14ac:dyDescent="0.2">
      <c r="A830" t="s">
        <v>40</v>
      </c>
      <c r="B830" t="s">
        <v>41</v>
      </c>
      <c r="C830" t="s">
        <v>33</v>
      </c>
      <c r="D830" t="s">
        <v>14</v>
      </c>
      <c r="E830" t="s">
        <v>42</v>
      </c>
      <c r="F830" s="1">
        <v>45839</v>
      </c>
      <c r="G830" t="s">
        <v>16</v>
      </c>
      <c r="H830" s="2">
        <v>500334.66</v>
      </c>
      <c r="I830" s="2">
        <v>513608.07</v>
      </c>
      <c r="J830" s="2">
        <v>496832.47</v>
      </c>
      <c r="K830" s="2">
        <v>509224.7</v>
      </c>
      <c r="L830" s="2">
        <f t="shared" si="48"/>
        <v>13273.410000000033</v>
      </c>
      <c r="M830" s="4">
        <f t="shared" si="49"/>
        <v>2.6529063567173286E-2</v>
      </c>
      <c r="N830" s="2">
        <f t="shared" si="50"/>
        <v>-16775.600000000035</v>
      </c>
      <c r="O830" s="6">
        <f t="shared" si="51"/>
        <v>0.96733774062389632</v>
      </c>
    </row>
    <row r="831" spans="1:15" x14ac:dyDescent="0.2">
      <c r="A831" t="s">
        <v>40</v>
      </c>
      <c r="B831" t="s">
        <v>41</v>
      </c>
      <c r="C831" t="s">
        <v>33</v>
      </c>
      <c r="D831" t="s">
        <v>14</v>
      </c>
      <c r="E831" t="s">
        <v>42</v>
      </c>
      <c r="F831" s="1">
        <v>45839</v>
      </c>
      <c r="G831" t="s">
        <v>17</v>
      </c>
      <c r="H831" s="2">
        <v>404392.89</v>
      </c>
      <c r="I831" s="2">
        <v>400858.68</v>
      </c>
      <c r="J831" s="2">
        <v>408811.75</v>
      </c>
      <c r="K831" s="2">
        <v>403057.31</v>
      </c>
      <c r="L831" s="2">
        <f t="shared" si="48"/>
        <v>-3534.210000000021</v>
      </c>
      <c r="M831" s="4">
        <f t="shared" si="49"/>
        <v>-8.7395453466059224E-3</v>
      </c>
      <c r="N831" s="2">
        <f t="shared" si="50"/>
        <v>7953.070000000007</v>
      </c>
      <c r="O831" s="6">
        <f t="shared" si="51"/>
        <v>1.0198400842910524</v>
      </c>
    </row>
    <row r="832" spans="1:15" x14ac:dyDescent="0.2">
      <c r="A832" t="s">
        <v>40</v>
      </c>
      <c r="B832" t="s">
        <v>41</v>
      </c>
      <c r="C832" t="s">
        <v>33</v>
      </c>
      <c r="D832" t="s">
        <v>14</v>
      </c>
      <c r="E832" t="s">
        <v>42</v>
      </c>
      <c r="F832" s="1">
        <v>45839</v>
      </c>
      <c r="G832" t="s">
        <v>18</v>
      </c>
      <c r="H832" s="2">
        <v>310176.83</v>
      </c>
      <c r="I832" s="2">
        <v>334120.68</v>
      </c>
      <c r="J832" s="2">
        <v>304171.55</v>
      </c>
      <c r="K832" s="2">
        <v>329597.18</v>
      </c>
      <c r="L832" s="2">
        <f t="shared" si="48"/>
        <v>23943.849999999977</v>
      </c>
      <c r="M832" s="4">
        <f t="shared" si="49"/>
        <v>7.7194192744828735E-2</v>
      </c>
      <c r="N832" s="2">
        <f t="shared" si="50"/>
        <v>-29949.130000000005</v>
      </c>
      <c r="O832" s="6">
        <f t="shared" si="51"/>
        <v>0.91036433303080788</v>
      </c>
    </row>
    <row r="833" spans="1:15" x14ac:dyDescent="0.2">
      <c r="A833" t="s">
        <v>40</v>
      </c>
      <c r="B833" t="s">
        <v>41</v>
      </c>
      <c r="C833" t="s">
        <v>33</v>
      </c>
      <c r="D833" t="s">
        <v>14</v>
      </c>
      <c r="E833" t="s">
        <v>42</v>
      </c>
      <c r="F833" s="1">
        <v>45839</v>
      </c>
      <c r="G833" t="s">
        <v>19</v>
      </c>
      <c r="H833" s="2">
        <v>219355.62</v>
      </c>
      <c r="I833" s="2">
        <v>224350.47</v>
      </c>
      <c r="J833" s="2">
        <v>214664.69</v>
      </c>
      <c r="K833" s="2">
        <v>225214.91</v>
      </c>
      <c r="L833" s="2">
        <f t="shared" si="48"/>
        <v>4994.8500000000058</v>
      </c>
      <c r="M833" s="4">
        <f t="shared" si="49"/>
        <v>2.2770558602510416E-2</v>
      </c>
      <c r="N833" s="2">
        <f t="shared" si="50"/>
        <v>-9685.7799999999988</v>
      </c>
      <c r="O833" s="6">
        <f t="shared" si="51"/>
        <v>0.95682745839578587</v>
      </c>
    </row>
    <row r="834" spans="1:15" x14ac:dyDescent="0.2">
      <c r="A834" t="s">
        <v>40</v>
      </c>
      <c r="B834" t="s">
        <v>41</v>
      </c>
      <c r="C834" t="s">
        <v>33</v>
      </c>
      <c r="D834" t="s">
        <v>14</v>
      </c>
      <c r="E834" t="s">
        <v>42</v>
      </c>
      <c r="F834" s="1">
        <v>45839</v>
      </c>
      <c r="G834" t="s">
        <v>20</v>
      </c>
      <c r="H834" s="2">
        <v>53587.69</v>
      </c>
      <c r="I834" s="2">
        <v>53030.91</v>
      </c>
      <c r="J834" s="2">
        <v>53767.46</v>
      </c>
      <c r="K834" s="2">
        <v>53336.89</v>
      </c>
      <c r="L834" s="2">
        <f t="shared" ref="L834:L865" si="52">I834-H834</f>
        <v>-556.77999999999884</v>
      </c>
      <c r="M834" s="4">
        <f t="shared" ref="M834:M865" si="53">L834/H834</f>
        <v>-1.0390072794703388E-2</v>
      </c>
      <c r="N834" s="2">
        <f t="shared" ref="N834:N865" si="54">J834-I834</f>
        <v>736.54999999999563</v>
      </c>
      <c r="O834" s="6">
        <f t="shared" ref="O834:O865" si="55">J834/I834</f>
        <v>1.013889069601106</v>
      </c>
    </row>
    <row r="835" spans="1:15" x14ac:dyDescent="0.2">
      <c r="A835" t="s">
        <v>40</v>
      </c>
      <c r="B835" t="s">
        <v>41</v>
      </c>
      <c r="C835" t="s">
        <v>33</v>
      </c>
      <c r="D835" t="s">
        <v>14</v>
      </c>
      <c r="E835" t="s">
        <v>42</v>
      </c>
      <c r="F835" s="1">
        <v>45839</v>
      </c>
      <c r="G835" t="s">
        <v>21</v>
      </c>
      <c r="H835" s="2">
        <v>85937.07</v>
      </c>
      <c r="I835" s="2">
        <v>83462.16</v>
      </c>
      <c r="J835" s="2">
        <v>86510.52</v>
      </c>
      <c r="K835" s="2">
        <v>83647.88</v>
      </c>
      <c r="L835" s="2">
        <f t="shared" si="52"/>
        <v>-2474.9100000000035</v>
      </c>
      <c r="M835" s="4">
        <f t="shared" si="53"/>
        <v>-2.8799096827480893E-2</v>
      </c>
      <c r="N835" s="2">
        <f t="shared" si="54"/>
        <v>3048.3600000000006</v>
      </c>
      <c r="O835" s="6">
        <f t="shared" si="55"/>
        <v>1.0365238570389264</v>
      </c>
    </row>
    <row r="836" spans="1:15" x14ac:dyDescent="0.2">
      <c r="A836" t="s">
        <v>40</v>
      </c>
      <c r="B836" t="s">
        <v>41</v>
      </c>
      <c r="C836" t="s">
        <v>33</v>
      </c>
      <c r="D836" t="s">
        <v>14</v>
      </c>
      <c r="E836" t="s">
        <v>42</v>
      </c>
      <c r="F836" s="1">
        <v>45870</v>
      </c>
      <c r="G836" t="s">
        <v>16</v>
      </c>
      <c r="H836" s="2">
        <v>483135.78</v>
      </c>
      <c r="I836" s="2">
        <v>488835.59</v>
      </c>
      <c r="J836" s="2">
        <v>480630.81</v>
      </c>
      <c r="K836" s="2">
        <v>484483.72</v>
      </c>
      <c r="L836" s="2">
        <f t="shared" si="52"/>
        <v>5699.8099999999977</v>
      </c>
      <c r="M836" s="4">
        <f t="shared" si="53"/>
        <v>1.1797532362434422E-2</v>
      </c>
      <c r="N836" s="2">
        <f t="shared" si="54"/>
        <v>-8204.7800000000279</v>
      </c>
      <c r="O836" s="6">
        <f t="shared" si="55"/>
        <v>0.98321566561878193</v>
      </c>
    </row>
    <row r="837" spans="1:15" x14ac:dyDescent="0.2">
      <c r="A837" t="s">
        <v>40</v>
      </c>
      <c r="B837" t="s">
        <v>41</v>
      </c>
      <c r="C837" t="s">
        <v>33</v>
      </c>
      <c r="D837" t="s">
        <v>14</v>
      </c>
      <c r="E837" t="s">
        <v>42</v>
      </c>
      <c r="F837" s="1">
        <v>45870</v>
      </c>
      <c r="G837" t="s">
        <v>17</v>
      </c>
      <c r="H837" s="2">
        <v>385886.81</v>
      </c>
      <c r="I837" s="2">
        <v>372548.6</v>
      </c>
      <c r="J837" s="2">
        <v>393357.53</v>
      </c>
      <c r="K837" s="2">
        <v>383704.93</v>
      </c>
      <c r="L837" s="2">
        <f t="shared" si="52"/>
        <v>-13338.210000000021</v>
      </c>
      <c r="M837" s="4">
        <f t="shared" si="53"/>
        <v>-3.4565083994449103E-2</v>
      </c>
      <c r="N837" s="2">
        <f t="shared" si="54"/>
        <v>20808.930000000051</v>
      </c>
      <c r="O837" s="6">
        <f t="shared" si="55"/>
        <v>1.0558556118584261</v>
      </c>
    </row>
    <row r="838" spans="1:15" x14ac:dyDescent="0.2">
      <c r="A838" t="s">
        <v>40</v>
      </c>
      <c r="B838" t="s">
        <v>41</v>
      </c>
      <c r="C838" t="s">
        <v>33</v>
      </c>
      <c r="D838" t="s">
        <v>14</v>
      </c>
      <c r="E838" t="s">
        <v>42</v>
      </c>
      <c r="F838" s="1">
        <v>45870</v>
      </c>
      <c r="G838" t="s">
        <v>18</v>
      </c>
      <c r="H838" s="2">
        <v>304824.31</v>
      </c>
      <c r="I838" s="2">
        <v>329927.09000000003</v>
      </c>
      <c r="J838" s="2">
        <v>297164.14</v>
      </c>
      <c r="K838" s="2">
        <v>325653.88</v>
      </c>
      <c r="L838" s="2">
        <f t="shared" si="52"/>
        <v>25102.780000000028</v>
      </c>
      <c r="M838" s="4">
        <f t="shared" si="53"/>
        <v>8.2351633962527551E-2</v>
      </c>
      <c r="N838" s="2">
        <f t="shared" si="54"/>
        <v>-32762.950000000012</v>
      </c>
      <c r="O838" s="6">
        <f t="shared" si="55"/>
        <v>0.90069639325464301</v>
      </c>
    </row>
    <row r="839" spans="1:15" x14ac:dyDescent="0.2">
      <c r="A839" t="s">
        <v>40</v>
      </c>
      <c r="B839" t="s">
        <v>41</v>
      </c>
      <c r="C839" t="s">
        <v>33</v>
      </c>
      <c r="D839" t="s">
        <v>14</v>
      </c>
      <c r="E839" t="s">
        <v>42</v>
      </c>
      <c r="F839" s="1">
        <v>45870</v>
      </c>
      <c r="G839" t="s">
        <v>19</v>
      </c>
      <c r="H839" s="2">
        <v>232929.04</v>
      </c>
      <c r="I839" s="2">
        <v>229581.23</v>
      </c>
      <c r="J839" s="2">
        <v>226363.47</v>
      </c>
      <c r="K839" s="2">
        <v>233527.83</v>
      </c>
      <c r="L839" s="2">
        <f t="shared" si="52"/>
        <v>-3347.8099999999977</v>
      </c>
      <c r="M839" s="4">
        <f t="shared" si="53"/>
        <v>-1.4372660446288696E-2</v>
      </c>
      <c r="N839" s="2">
        <f t="shared" si="54"/>
        <v>-3217.7600000000093</v>
      </c>
      <c r="O839" s="6">
        <f t="shared" si="55"/>
        <v>0.98598422005143882</v>
      </c>
    </row>
    <row r="840" spans="1:15" x14ac:dyDescent="0.2">
      <c r="A840" t="s">
        <v>40</v>
      </c>
      <c r="B840" t="s">
        <v>41</v>
      </c>
      <c r="C840" t="s">
        <v>33</v>
      </c>
      <c r="D840" t="s">
        <v>14</v>
      </c>
      <c r="E840" t="s">
        <v>42</v>
      </c>
      <c r="F840" s="1">
        <v>45870</v>
      </c>
      <c r="G840" t="s">
        <v>20</v>
      </c>
      <c r="H840" s="2">
        <v>52018.07</v>
      </c>
      <c r="I840" s="2">
        <v>53833.5</v>
      </c>
      <c r="J840" s="2">
        <v>51619.15</v>
      </c>
      <c r="K840" s="2">
        <v>52666.080000000002</v>
      </c>
      <c r="L840" s="2">
        <f t="shared" si="52"/>
        <v>1815.4300000000003</v>
      </c>
      <c r="M840" s="4">
        <f t="shared" si="53"/>
        <v>3.4899987638910869E-2</v>
      </c>
      <c r="N840" s="2">
        <f t="shared" si="54"/>
        <v>-2214.3499999999985</v>
      </c>
      <c r="O840" s="6">
        <f t="shared" si="55"/>
        <v>0.95886669081519871</v>
      </c>
    </row>
    <row r="841" spans="1:15" x14ac:dyDescent="0.2">
      <c r="A841" t="s">
        <v>40</v>
      </c>
      <c r="B841" t="s">
        <v>41</v>
      </c>
      <c r="C841" t="s">
        <v>33</v>
      </c>
      <c r="D841" t="s">
        <v>14</v>
      </c>
      <c r="E841" t="s">
        <v>42</v>
      </c>
      <c r="F841" s="1">
        <v>45870</v>
      </c>
      <c r="G841" t="s">
        <v>21</v>
      </c>
      <c r="H841" s="2">
        <v>86392.11</v>
      </c>
      <c r="I841" s="2">
        <v>86052.96</v>
      </c>
      <c r="J841" s="2">
        <v>87342.03</v>
      </c>
      <c r="K841" s="2">
        <v>85191.73</v>
      </c>
      <c r="L841" s="2">
        <f t="shared" si="52"/>
        <v>-339.14999999999418</v>
      </c>
      <c r="M841" s="4">
        <f t="shared" si="53"/>
        <v>-3.9257057154871459E-3</v>
      </c>
      <c r="N841" s="2">
        <f t="shared" si="54"/>
        <v>1289.0699999999924</v>
      </c>
      <c r="O841" s="6">
        <f t="shared" si="55"/>
        <v>1.0149799611773958</v>
      </c>
    </row>
    <row r="842" spans="1:15" x14ac:dyDescent="0.2">
      <c r="A842" t="s">
        <v>40</v>
      </c>
      <c r="B842" t="s">
        <v>41</v>
      </c>
      <c r="C842" t="s">
        <v>33</v>
      </c>
      <c r="D842" t="s">
        <v>14</v>
      </c>
      <c r="E842" t="s">
        <v>42</v>
      </c>
      <c r="F842" s="1">
        <v>45901</v>
      </c>
      <c r="G842" t="s">
        <v>16</v>
      </c>
      <c r="H842" s="2">
        <v>520036.75</v>
      </c>
      <c r="I842" s="2">
        <v>503553.7</v>
      </c>
      <c r="J842" s="2">
        <v>522494.13</v>
      </c>
      <c r="K842" s="2">
        <v>506533.61</v>
      </c>
      <c r="L842" s="2">
        <f t="shared" si="52"/>
        <v>-16483.049999999988</v>
      </c>
      <c r="M842" s="4">
        <f t="shared" si="53"/>
        <v>-3.1695933027810035E-2</v>
      </c>
      <c r="N842" s="2">
        <f t="shared" si="54"/>
        <v>18940.429999999993</v>
      </c>
      <c r="O842" s="6">
        <f t="shared" si="55"/>
        <v>1.0376135256279519</v>
      </c>
    </row>
    <row r="843" spans="1:15" x14ac:dyDescent="0.2">
      <c r="A843" t="s">
        <v>40</v>
      </c>
      <c r="B843" t="s">
        <v>41</v>
      </c>
      <c r="C843" t="s">
        <v>33</v>
      </c>
      <c r="D843" t="s">
        <v>14</v>
      </c>
      <c r="E843" t="s">
        <v>42</v>
      </c>
      <c r="F843" s="1">
        <v>45901</v>
      </c>
      <c r="G843" t="s">
        <v>17</v>
      </c>
      <c r="H843" s="2">
        <v>400501.58</v>
      </c>
      <c r="I843" s="2">
        <v>414315.19</v>
      </c>
      <c r="J843" s="2">
        <v>394157.86</v>
      </c>
      <c r="K843" s="2">
        <v>405351.13</v>
      </c>
      <c r="L843" s="2">
        <f t="shared" si="52"/>
        <v>13813.609999999986</v>
      </c>
      <c r="M843" s="4">
        <f t="shared" si="53"/>
        <v>3.4490775292322154E-2</v>
      </c>
      <c r="N843" s="2">
        <f t="shared" si="54"/>
        <v>-20157.330000000016</v>
      </c>
      <c r="O843" s="6">
        <f t="shared" si="55"/>
        <v>0.9513478373795563</v>
      </c>
    </row>
    <row r="844" spans="1:15" x14ac:dyDescent="0.2">
      <c r="A844" t="s">
        <v>40</v>
      </c>
      <c r="B844" t="s">
        <v>41</v>
      </c>
      <c r="C844" t="s">
        <v>33</v>
      </c>
      <c r="D844" t="s">
        <v>14</v>
      </c>
      <c r="E844" t="s">
        <v>42</v>
      </c>
      <c r="F844" s="1">
        <v>45901</v>
      </c>
      <c r="G844" t="s">
        <v>18</v>
      </c>
      <c r="H844" s="2">
        <v>318745.67</v>
      </c>
      <c r="I844" s="2">
        <v>352314.96</v>
      </c>
      <c r="J844" s="2">
        <v>314199.7</v>
      </c>
      <c r="K844" s="2">
        <v>338988.97</v>
      </c>
      <c r="L844" s="2">
        <f t="shared" si="52"/>
        <v>33569.290000000037</v>
      </c>
      <c r="M844" s="4">
        <f t="shared" si="53"/>
        <v>0.10531685026497783</v>
      </c>
      <c r="N844" s="2">
        <f t="shared" si="54"/>
        <v>-38115.260000000009</v>
      </c>
      <c r="O844" s="6">
        <f t="shared" si="55"/>
        <v>0.89181481251888928</v>
      </c>
    </row>
    <row r="845" spans="1:15" x14ac:dyDescent="0.2">
      <c r="A845" t="s">
        <v>40</v>
      </c>
      <c r="B845" t="s">
        <v>41</v>
      </c>
      <c r="C845" t="s">
        <v>33</v>
      </c>
      <c r="D845" t="s">
        <v>14</v>
      </c>
      <c r="E845" t="s">
        <v>42</v>
      </c>
      <c r="F845" s="1">
        <v>45901</v>
      </c>
      <c r="G845" t="s">
        <v>19</v>
      </c>
      <c r="H845" s="2">
        <v>224905.25</v>
      </c>
      <c r="I845" s="2">
        <v>220246.62</v>
      </c>
      <c r="J845" s="2">
        <v>229004.59</v>
      </c>
      <c r="K845" s="2">
        <v>224072.87</v>
      </c>
      <c r="L845" s="2">
        <f t="shared" si="52"/>
        <v>-4658.6300000000047</v>
      </c>
      <c r="M845" s="4">
        <f t="shared" si="53"/>
        <v>-2.0713745010398844E-2</v>
      </c>
      <c r="N845" s="2">
        <f t="shared" si="54"/>
        <v>8757.9700000000012</v>
      </c>
      <c r="O845" s="6">
        <f t="shared" si="55"/>
        <v>1.0397643786769577</v>
      </c>
    </row>
    <row r="846" spans="1:15" x14ac:dyDescent="0.2">
      <c r="A846" t="s">
        <v>40</v>
      </c>
      <c r="B846" t="s">
        <v>41</v>
      </c>
      <c r="C846" t="s">
        <v>33</v>
      </c>
      <c r="D846" t="s">
        <v>14</v>
      </c>
      <c r="E846" t="s">
        <v>42</v>
      </c>
      <c r="F846" s="1">
        <v>45901</v>
      </c>
      <c r="G846" t="s">
        <v>20</v>
      </c>
      <c r="H846" s="2">
        <v>56067.62</v>
      </c>
      <c r="I846" s="2">
        <v>55624.07</v>
      </c>
      <c r="J846" s="2">
        <v>55309.04</v>
      </c>
      <c r="K846" s="2">
        <v>56464.93</v>
      </c>
      <c r="L846" s="2">
        <f t="shared" si="52"/>
        <v>-443.55000000000291</v>
      </c>
      <c r="M846" s="4">
        <f t="shared" si="53"/>
        <v>-7.9109832020692675E-3</v>
      </c>
      <c r="N846" s="2">
        <f t="shared" si="54"/>
        <v>-315.02999999999884</v>
      </c>
      <c r="O846" s="6">
        <f t="shared" si="55"/>
        <v>0.9943364446362879</v>
      </c>
    </row>
    <row r="847" spans="1:15" x14ac:dyDescent="0.2">
      <c r="A847" t="s">
        <v>40</v>
      </c>
      <c r="B847" t="s">
        <v>41</v>
      </c>
      <c r="C847" t="s">
        <v>33</v>
      </c>
      <c r="D847" t="s">
        <v>14</v>
      </c>
      <c r="E847" t="s">
        <v>42</v>
      </c>
      <c r="F847" s="1">
        <v>45901</v>
      </c>
      <c r="G847" t="s">
        <v>21</v>
      </c>
      <c r="H847" s="2">
        <v>86053.66</v>
      </c>
      <c r="I847" s="2">
        <v>86972.33</v>
      </c>
      <c r="J847" s="2">
        <v>83620.37</v>
      </c>
      <c r="K847" s="2">
        <v>86861.06</v>
      </c>
      <c r="L847" s="2">
        <f t="shared" si="52"/>
        <v>918.66999999999825</v>
      </c>
      <c r="M847" s="4">
        <f t="shared" si="53"/>
        <v>1.0675548256750477E-2</v>
      </c>
      <c r="N847" s="2">
        <f t="shared" si="54"/>
        <v>-3351.9600000000064</v>
      </c>
      <c r="O847" s="6">
        <f t="shared" si="55"/>
        <v>0.96145946647629188</v>
      </c>
    </row>
    <row r="848" spans="1:15" x14ac:dyDescent="0.2">
      <c r="A848" t="s">
        <v>40</v>
      </c>
      <c r="B848" t="s">
        <v>41</v>
      </c>
      <c r="C848" t="s">
        <v>33</v>
      </c>
      <c r="D848" t="s">
        <v>14</v>
      </c>
      <c r="E848" t="s">
        <v>42</v>
      </c>
      <c r="F848" s="1">
        <v>45931</v>
      </c>
      <c r="G848" t="s">
        <v>16</v>
      </c>
      <c r="H848" s="2">
        <v>492262.22</v>
      </c>
      <c r="I848" s="2">
        <v>495550.3</v>
      </c>
      <c r="J848" s="2">
        <v>505433.99</v>
      </c>
      <c r="K848" s="2">
        <v>492011.28</v>
      </c>
      <c r="L848" s="2">
        <f t="shared" si="52"/>
        <v>3288.0800000000163</v>
      </c>
      <c r="M848" s="4">
        <f t="shared" si="53"/>
        <v>6.6795294589132121E-3</v>
      </c>
      <c r="N848" s="2">
        <f t="shared" si="54"/>
        <v>9883.6900000000023</v>
      </c>
      <c r="O848" s="6">
        <f t="shared" si="55"/>
        <v>1.0199448774423101</v>
      </c>
    </row>
    <row r="849" spans="1:15" x14ac:dyDescent="0.2">
      <c r="A849" t="s">
        <v>40</v>
      </c>
      <c r="B849" t="s">
        <v>41</v>
      </c>
      <c r="C849" t="s">
        <v>33</v>
      </c>
      <c r="D849" t="s">
        <v>14</v>
      </c>
      <c r="E849" t="s">
        <v>42</v>
      </c>
      <c r="F849" s="1">
        <v>45931</v>
      </c>
      <c r="G849" t="s">
        <v>17</v>
      </c>
      <c r="H849" s="2">
        <v>398723.21</v>
      </c>
      <c r="I849" s="2">
        <v>406764.16</v>
      </c>
      <c r="J849" s="2">
        <v>388025.64</v>
      </c>
      <c r="K849" s="2">
        <v>402004.3</v>
      </c>
      <c r="L849" s="2">
        <f t="shared" si="52"/>
        <v>8040.9499999999534</v>
      </c>
      <c r="M849" s="4">
        <f t="shared" si="53"/>
        <v>2.0166746751461882E-2</v>
      </c>
      <c r="N849" s="2">
        <f t="shared" si="54"/>
        <v>-18738.51999999996</v>
      </c>
      <c r="O849" s="6">
        <f t="shared" si="55"/>
        <v>0.95393271619603859</v>
      </c>
    </row>
    <row r="850" spans="1:15" x14ac:dyDescent="0.2">
      <c r="A850" t="s">
        <v>40</v>
      </c>
      <c r="B850" t="s">
        <v>41</v>
      </c>
      <c r="C850" t="s">
        <v>33</v>
      </c>
      <c r="D850" t="s">
        <v>14</v>
      </c>
      <c r="E850" t="s">
        <v>42</v>
      </c>
      <c r="F850" s="1">
        <v>45931</v>
      </c>
      <c r="G850" t="s">
        <v>18</v>
      </c>
      <c r="H850" s="2">
        <v>317122.64</v>
      </c>
      <c r="I850" s="2">
        <v>342097.36</v>
      </c>
      <c r="J850" s="2">
        <v>309011.56</v>
      </c>
      <c r="K850" s="2">
        <v>338179.06</v>
      </c>
      <c r="L850" s="2">
        <f t="shared" si="52"/>
        <v>24974.719999999972</v>
      </c>
      <c r="M850" s="4">
        <f t="shared" si="53"/>
        <v>7.8754137516009487E-2</v>
      </c>
      <c r="N850" s="2">
        <f t="shared" si="54"/>
        <v>-33085.799999999988</v>
      </c>
      <c r="O850" s="6">
        <f t="shared" si="55"/>
        <v>0.90328542728304018</v>
      </c>
    </row>
    <row r="851" spans="1:15" x14ac:dyDescent="0.2">
      <c r="A851" t="s">
        <v>40</v>
      </c>
      <c r="B851" t="s">
        <v>41</v>
      </c>
      <c r="C851" t="s">
        <v>33</v>
      </c>
      <c r="D851" t="s">
        <v>14</v>
      </c>
      <c r="E851" t="s">
        <v>42</v>
      </c>
      <c r="F851" s="1">
        <v>45931</v>
      </c>
      <c r="G851" t="s">
        <v>19</v>
      </c>
      <c r="H851" s="2">
        <v>226177.72</v>
      </c>
      <c r="I851" s="2">
        <v>220862.19</v>
      </c>
      <c r="J851" s="2">
        <v>232441.48</v>
      </c>
      <c r="K851" s="2">
        <v>222081.69</v>
      </c>
      <c r="L851" s="2">
        <f t="shared" si="52"/>
        <v>-5315.5299999999988</v>
      </c>
      <c r="M851" s="4">
        <f t="shared" si="53"/>
        <v>-2.3501563283952101E-2</v>
      </c>
      <c r="N851" s="2">
        <f t="shared" si="54"/>
        <v>11579.290000000008</v>
      </c>
      <c r="O851" s="6">
        <f t="shared" si="55"/>
        <v>1.0524276699420576</v>
      </c>
    </row>
    <row r="852" spans="1:15" x14ac:dyDescent="0.2">
      <c r="A852" t="s">
        <v>40</v>
      </c>
      <c r="B852" t="s">
        <v>41</v>
      </c>
      <c r="C852" t="s">
        <v>33</v>
      </c>
      <c r="D852" t="s">
        <v>14</v>
      </c>
      <c r="E852" t="s">
        <v>42</v>
      </c>
      <c r="F852" s="1">
        <v>45931</v>
      </c>
      <c r="G852" t="s">
        <v>20</v>
      </c>
      <c r="H852" s="2">
        <v>56477.17</v>
      </c>
      <c r="I852" s="2">
        <v>57711.17</v>
      </c>
      <c r="J852" s="2">
        <v>55540.43</v>
      </c>
      <c r="K852" s="2">
        <v>58137.04</v>
      </c>
      <c r="L852" s="2">
        <f t="shared" si="52"/>
        <v>1234</v>
      </c>
      <c r="M852" s="4">
        <f t="shared" si="53"/>
        <v>2.1849536724308248E-2</v>
      </c>
      <c r="N852" s="2">
        <f t="shared" si="54"/>
        <v>-2170.739999999998</v>
      </c>
      <c r="O852" s="6">
        <f t="shared" si="55"/>
        <v>0.96238613772689063</v>
      </c>
    </row>
    <row r="853" spans="1:15" x14ac:dyDescent="0.2">
      <c r="A853" t="s">
        <v>40</v>
      </c>
      <c r="B853" t="s">
        <v>41</v>
      </c>
      <c r="C853" t="s">
        <v>33</v>
      </c>
      <c r="D853" t="s">
        <v>14</v>
      </c>
      <c r="E853" t="s">
        <v>42</v>
      </c>
      <c r="F853" s="1">
        <v>45931</v>
      </c>
      <c r="G853" t="s">
        <v>21</v>
      </c>
      <c r="H853" s="2">
        <v>86996.68</v>
      </c>
      <c r="I853" s="2">
        <v>86356.43</v>
      </c>
      <c r="J853" s="2">
        <v>85438.35</v>
      </c>
      <c r="K853" s="2">
        <v>87333.55</v>
      </c>
      <c r="L853" s="2">
        <f t="shared" si="52"/>
        <v>-640.25</v>
      </c>
      <c r="M853" s="4">
        <f t="shared" si="53"/>
        <v>-7.3594762466797593E-3</v>
      </c>
      <c r="N853" s="2">
        <f t="shared" si="54"/>
        <v>-918.07999999998719</v>
      </c>
      <c r="O853" s="6">
        <f t="shared" si="55"/>
        <v>0.98936871290302308</v>
      </c>
    </row>
    <row r="854" spans="1:15" x14ac:dyDescent="0.2">
      <c r="A854" t="s">
        <v>40</v>
      </c>
      <c r="B854" t="s">
        <v>41</v>
      </c>
      <c r="C854" t="s">
        <v>33</v>
      </c>
      <c r="D854" t="s">
        <v>14</v>
      </c>
      <c r="E854" t="s">
        <v>42</v>
      </c>
      <c r="F854" s="1">
        <v>45962</v>
      </c>
      <c r="G854" t="s">
        <v>16</v>
      </c>
      <c r="H854" s="2">
        <v>525527.71</v>
      </c>
      <c r="I854" s="2">
        <v>507918.32</v>
      </c>
      <c r="J854" s="2">
        <v>532100.39</v>
      </c>
      <c r="K854" s="2">
        <v>518398.93</v>
      </c>
      <c r="L854" s="2">
        <f t="shared" si="52"/>
        <v>-17609.389999999956</v>
      </c>
      <c r="M854" s="4">
        <f t="shared" si="53"/>
        <v>-3.3508014258658132E-2</v>
      </c>
      <c r="N854" s="2">
        <f t="shared" si="54"/>
        <v>24182.070000000007</v>
      </c>
      <c r="O854" s="6">
        <f t="shared" si="55"/>
        <v>1.0476101551131292</v>
      </c>
    </row>
    <row r="855" spans="1:15" x14ac:dyDescent="0.2">
      <c r="A855" t="s">
        <v>40</v>
      </c>
      <c r="B855" t="s">
        <v>41</v>
      </c>
      <c r="C855" t="s">
        <v>33</v>
      </c>
      <c r="D855" t="s">
        <v>14</v>
      </c>
      <c r="E855" t="s">
        <v>42</v>
      </c>
      <c r="F855" s="1">
        <v>45962</v>
      </c>
      <c r="G855" t="s">
        <v>17</v>
      </c>
      <c r="H855" s="2">
        <v>417065.41</v>
      </c>
      <c r="I855" s="2">
        <v>405595.86</v>
      </c>
      <c r="J855" s="2">
        <v>418781.38</v>
      </c>
      <c r="K855" s="2">
        <v>410235.71</v>
      </c>
      <c r="L855" s="2">
        <f t="shared" si="52"/>
        <v>-11469.549999999988</v>
      </c>
      <c r="M855" s="4">
        <f t="shared" si="53"/>
        <v>-2.7500602363547698E-2</v>
      </c>
      <c r="N855" s="2">
        <f t="shared" si="54"/>
        <v>13185.520000000019</v>
      </c>
      <c r="O855" s="6">
        <f t="shared" si="55"/>
        <v>1.0325090103237247</v>
      </c>
    </row>
    <row r="856" spans="1:15" x14ac:dyDescent="0.2">
      <c r="A856" t="s">
        <v>40</v>
      </c>
      <c r="B856" t="s">
        <v>41</v>
      </c>
      <c r="C856" t="s">
        <v>33</v>
      </c>
      <c r="D856" t="s">
        <v>14</v>
      </c>
      <c r="E856" t="s">
        <v>42</v>
      </c>
      <c r="F856" s="1">
        <v>45962</v>
      </c>
      <c r="G856" t="s">
        <v>18</v>
      </c>
      <c r="H856" s="2">
        <v>330665.68</v>
      </c>
      <c r="I856" s="2">
        <v>364807.99</v>
      </c>
      <c r="J856" s="2">
        <v>323348.67</v>
      </c>
      <c r="K856" s="2">
        <v>349446.07</v>
      </c>
      <c r="L856" s="2">
        <f t="shared" si="52"/>
        <v>34142.31</v>
      </c>
      <c r="M856" s="4">
        <f t="shared" si="53"/>
        <v>0.10325326172344224</v>
      </c>
      <c r="N856" s="2">
        <f t="shared" si="54"/>
        <v>-41459.320000000007</v>
      </c>
      <c r="O856" s="6">
        <f t="shared" si="55"/>
        <v>0.88635303738824356</v>
      </c>
    </row>
    <row r="857" spans="1:15" x14ac:dyDescent="0.2">
      <c r="A857" t="s">
        <v>40</v>
      </c>
      <c r="B857" t="s">
        <v>41</v>
      </c>
      <c r="C857" t="s">
        <v>33</v>
      </c>
      <c r="D857" t="s">
        <v>14</v>
      </c>
      <c r="E857" t="s">
        <v>42</v>
      </c>
      <c r="F857" s="1">
        <v>45962</v>
      </c>
      <c r="G857" t="s">
        <v>19</v>
      </c>
      <c r="H857" s="2">
        <v>242029.46</v>
      </c>
      <c r="I857" s="2">
        <v>239549.46</v>
      </c>
      <c r="J857" s="2">
        <v>243098.14</v>
      </c>
      <c r="K857" s="2">
        <v>241663.35</v>
      </c>
      <c r="L857" s="2">
        <f t="shared" si="52"/>
        <v>-2480</v>
      </c>
      <c r="M857" s="4">
        <f t="shared" si="53"/>
        <v>-1.0246686498412219E-2</v>
      </c>
      <c r="N857" s="2">
        <f t="shared" si="54"/>
        <v>3548.6800000000221</v>
      </c>
      <c r="O857" s="6">
        <f t="shared" si="55"/>
        <v>1.0148139762034947</v>
      </c>
    </row>
    <row r="858" spans="1:15" x14ac:dyDescent="0.2">
      <c r="A858" t="s">
        <v>40</v>
      </c>
      <c r="B858" t="s">
        <v>41</v>
      </c>
      <c r="C858" t="s">
        <v>33</v>
      </c>
      <c r="D858" t="s">
        <v>14</v>
      </c>
      <c r="E858" t="s">
        <v>42</v>
      </c>
      <c r="F858" s="1">
        <v>45962</v>
      </c>
      <c r="G858" t="s">
        <v>20</v>
      </c>
      <c r="H858" s="2">
        <v>55979.94</v>
      </c>
      <c r="I858" s="2">
        <v>56377.03</v>
      </c>
      <c r="J858" s="2">
        <v>56972.69</v>
      </c>
      <c r="K858" s="2">
        <v>56211.93</v>
      </c>
      <c r="L858" s="2">
        <f t="shared" si="52"/>
        <v>397.08999999999651</v>
      </c>
      <c r="M858" s="4">
        <f t="shared" si="53"/>
        <v>7.0934338264742065E-3</v>
      </c>
      <c r="N858" s="2">
        <f t="shared" si="54"/>
        <v>595.66000000000349</v>
      </c>
      <c r="O858" s="6">
        <f t="shared" si="55"/>
        <v>1.0105656505849989</v>
      </c>
    </row>
    <row r="859" spans="1:15" x14ac:dyDescent="0.2">
      <c r="A859" t="s">
        <v>40</v>
      </c>
      <c r="B859" t="s">
        <v>41</v>
      </c>
      <c r="C859" t="s">
        <v>33</v>
      </c>
      <c r="D859" t="s">
        <v>14</v>
      </c>
      <c r="E859" t="s">
        <v>42</v>
      </c>
      <c r="F859" s="1">
        <v>45962</v>
      </c>
      <c r="G859" t="s">
        <v>21</v>
      </c>
      <c r="H859" s="2">
        <v>86217.51</v>
      </c>
      <c r="I859" s="2">
        <v>84650.53</v>
      </c>
      <c r="J859" s="2">
        <v>85735.19</v>
      </c>
      <c r="K859" s="2">
        <v>84938.68</v>
      </c>
      <c r="L859" s="2">
        <f t="shared" si="52"/>
        <v>-1566.9799999999959</v>
      </c>
      <c r="M859" s="4">
        <f t="shared" si="53"/>
        <v>-1.817473039989204E-2</v>
      </c>
      <c r="N859" s="2">
        <f t="shared" si="54"/>
        <v>1084.6600000000035</v>
      </c>
      <c r="O859" s="6">
        <f t="shared" si="55"/>
        <v>1.0128133869923792</v>
      </c>
    </row>
    <row r="860" spans="1:15" x14ac:dyDescent="0.2">
      <c r="A860" t="s">
        <v>40</v>
      </c>
      <c r="B860" t="s">
        <v>41</v>
      </c>
      <c r="C860" t="s">
        <v>33</v>
      </c>
      <c r="D860" t="s">
        <v>14</v>
      </c>
      <c r="E860" t="s">
        <v>42</v>
      </c>
      <c r="F860" s="1">
        <v>45992</v>
      </c>
      <c r="G860" t="s">
        <v>16</v>
      </c>
      <c r="H860" s="2">
        <v>520422.1</v>
      </c>
      <c r="I860" s="2">
        <v>529125.84</v>
      </c>
      <c r="J860" s="2">
        <v>515279.64</v>
      </c>
      <c r="K860" s="2">
        <v>533201.91</v>
      </c>
      <c r="L860" s="2">
        <f t="shared" si="52"/>
        <v>8703.7399999999907</v>
      </c>
      <c r="M860" s="4">
        <f t="shared" si="53"/>
        <v>1.6724385839878803E-2</v>
      </c>
      <c r="N860" s="2">
        <f t="shared" si="54"/>
        <v>-13846.199999999953</v>
      </c>
      <c r="O860" s="6">
        <f t="shared" si="55"/>
        <v>0.9738319338174829</v>
      </c>
    </row>
    <row r="861" spans="1:15" x14ac:dyDescent="0.2">
      <c r="A861" t="s">
        <v>40</v>
      </c>
      <c r="B861" t="s">
        <v>41</v>
      </c>
      <c r="C861" t="s">
        <v>33</v>
      </c>
      <c r="D861" t="s">
        <v>14</v>
      </c>
      <c r="E861" t="s">
        <v>42</v>
      </c>
      <c r="F861" s="1">
        <v>45992</v>
      </c>
      <c r="G861" t="s">
        <v>17</v>
      </c>
      <c r="H861" s="2">
        <v>394819.89</v>
      </c>
      <c r="I861" s="2">
        <v>400912.69</v>
      </c>
      <c r="J861" s="2">
        <v>401660.38</v>
      </c>
      <c r="K861" s="2">
        <v>402737.95</v>
      </c>
      <c r="L861" s="2">
        <f t="shared" si="52"/>
        <v>6092.7999999999884</v>
      </c>
      <c r="M861" s="4">
        <f t="shared" si="53"/>
        <v>1.5431846657978624E-2</v>
      </c>
      <c r="N861" s="2">
        <f t="shared" si="54"/>
        <v>747.69000000000233</v>
      </c>
      <c r="O861" s="6">
        <f t="shared" si="55"/>
        <v>1.0018649696521205</v>
      </c>
    </row>
    <row r="862" spans="1:15" x14ac:dyDescent="0.2">
      <c r="A862" t="s">
        <v>40</v>
      </c>
      <c r="B862" t="s">
        <v>41</v>
      </c>
      <c r="C862" t="s">
        <v>33</v>
      </c>
      <c r="D862" t="s">
        <v>14</v>
      </c>
      <c r="E862" t="s">
        <v>42</v>
      </c>
      <c r="F862" s="1">
        <v>45992</v>
      </c>
      <c r="G862" t="s">
        <v>18</v>
      </c>
      <c r="H862" s="2">
        <v>314394.08</v>
      </c>
      <c r="I862" s="2">
        <v>338063.75</v>
      </c>
      <c r="J862" s="2">
        <v>305634.28999999998</v>
      </c>
      <c r="K862" s="2">
        <v>331001.59999999998</v>
      </c>
      <c r="L862" s="2">
        <f t="shared" si="52"/>
        <v>23669.669999999984</v>
      </c>
      <c r="M862" s="4">
        <f t="shared" si="53"/>
        <v>7.5286627534462428E-2</v>
      </c>
      <c r="N862" s="2">
        <f t="shared" si="54"/>
        <v>-32429.460000000021</v>
      </c>
      <c r="O862" s="6">
        <f t="shared" si="55"/>
        <v>0.90407294482179756</v>
      </c>
    </row>
    <row r="863" spans="1:15" x14ac:dyDescent="0.2">
      <c r="A863" t="s">
        <v>40</v>
      </c>
      <c r="B863" t="s">
        <v>41</v>
      </c>
      <c r="C863" t="s">
        <v>33</v>
      </c>
      <c r="D863" t="s">
        <v>14</v>
      </c>
      <c r="E863" t="s">
        <v>42</v>
      </c>
      <c r="F863" s="1">
        <v>45992</v>
      </c>
      <c r="G863" t="s">
        <v>19</v>
      </c>
      <c r="H863" s="2">
        <v>232125.51</v>
      </c>
      <c r="I863" s="2">
        <v>225265.15</v>
      </c>
      <c r="J863" s="2">
        <v>226470.68</v>
      </c>
      <c r="K863" s="2">
        <v>225608.8</v>
      </c>
      <c r="L863" s="2">
        <f t="shared" si="52"/>
        <v>-6860.3600000000151</v>
      </c>
      <c r="M863" s="4">
        <f t="shared" si="53"/>
        <v>-2.9554528496243324E-2</v>
      </c>
      <c r="N863" s="2">
        <f t="shared" si="54"/>
        <v>1205.5299999999988</v>
      </c>
      <c r="O863" s="6">
        <f t="shared" si="55"/>
        <v>1.0053516045424691</v>
      </c>
    </row>
    <row r="864" spans="1:15" x14ac:dyDescent="0.2">
      <c r="A864" t="s">
        <v>40</v>
      </c>
      <c r="B864" t="s">
        <v>41</v>
      </c>
      <c r="C864" t="s">
        <v>33</v>
      </c>
      <c r="D864" t="s">
        <v>14</v>
      </c>
      <c r="E864" t="s">
        <v>42</v>
      </c>
      <c r="F864" s="1">
        <v>45992</v>
      </c>
      <c r="G864" t="s">
        <v>20</v>
      </c>
      <c r="H864" s="2">
        <v>54446.080000000002</v>
      </c>
      <c r="I864" s="2">
        <v>54715.06</v>
      </c>
      <c r="J864" s="2">
        <v>54988.81</v>
      </c>
      <c r="K864" s="2">
        <v>54826.239999999998</v>
      </c>
      <c r="L864" s="2">
        <f t="shared" si="52"/>
        <v>268.97999999999593</v>
      </c>
      <c r="M864" s="4">
        <f t="shared" si="53"/>
        <v>4.940300568929773E-3</v>
      </c>
      <c r="N864" s="2">
        <f t="shared" si="54"/>
        <v>273.75</v>
      </c>
      <c r="O864" s="6">
        <f t="shared" si="55"/>
        <v>1.0050031929052075</v>
      </c>
    </row>
    <row r="865" spans="1:15" x14ac:dyDescent="0.2">
      <c r="A865" t="s">
        <v>40</v>
      </c>
      <c r="B865" t="s">
        <v>41</v>
      </c>
      <c r="C865" t="s">
        <v>33</v>
      </c>
      <c r="D865" t="s">
        <v>14</v>
      </c>
      <c r="E865" t="s">
        <v>42</v>
      </c>
      <c r="F865" s="1">
        <v>45992</v>
      </c>
      <c r="G865" t="s">
        <v>21</v>
      </c>
      <c r="H865" s="2">
        <v>89912.55</v>
      </c>
      <c r="I865" s="2">
        <v>88582.65</v>
      </c>
      <c r="J865" s="2">
        <v>88618.04</v>
      </c>
      <c r="K865" s="2">
        <v>88309.73</v>
      </c>
      <c r="L865" s="2">
        <f t="shared" si="52"/>
        <v>-1329.9000000000087</v>
      </c>
      <c r="M865" s="4">
        <f t="shared" si="53"/>
        <v>-1.4791038625864896E-2</v>
      </c>
      <c r="N865" s="2">
        <f t="shared" si="54"/>
        <v>35.389999999999418</v>
      </c>
      <c r="O865" s="6">
        <f t="shared" si="55"/>
        <v>1.0003995139002955</v>
      </c>
    </row>
  </sheetData>
  <pageMargins left="0.75" right="0.75" top="1" bottom="1" header="0.5" footer="0.5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E169-C0EE-3043-B6D4-1D1CAC503CEC}">
  <dimension ref="A1:M45"/>
  <sheetViews>
    <sheetView tabSelected="1" topLeftCell="A14" workbookViewId="0">
      <selection activeCell="A45" sqref="A45:M45"/>
    </sheetView>
  </sheetViews>
  <sheetFormatPr baseColWidth="10" defaultColWidth="11" defaultRowHeight="16" x14ac:dyDescent="0.2"/>
  <cols>
    <col min="1" max="1" width="13.83203125" bestFit="1" customWidth="1"/>
    <col min="2" max="2" width="21.5" bestFit="1" customWidth="1"/>
    <col min="3" max="3" width="17" bestFit="1" customWidth="1"/>
    <col min="4" max="4" width="21.5" bestFit="1" customWidth="1"/>
    <col min="6" max="6" width="21.5" bestFit="1" customWidth="1"/>
    <col min="7" max="7" width="15.5" bestFit="1" customWidth="1"/>
    <col min="8" max="8" width="11.5" bestFit="1" customWidth="1"/>
    <col min="9" max="9" width="16.33203125" bestFit="1" customWidth="1"/>
    <col min="10" max="10" width="9.6640625" bestFit="1" customWidth="1"/>
    <col min="11" max="11" width="11.6640625" bestFit="1" customWidth="1"/>
    <col min="12" max="12" width="8.6640625" bestFit="1" customWidth="1"/>
    <col min="13" max="13" width="11.5" bestFit="1" customWidth="1"/>
  </cols>
  <sheetData>
    <row r="1" spans="1:13" x14ac:dyDescent="0.2">
      <c r="A1" s="7" t="s">
        <v>47</v>
      </c>
      <c r="B1" t="s">
        <v>49</v>
      </c>
      <c r="C1" t="s">
        <v>50</v>
      </c>
      <c r="D1" t="s">
        <v>51</v>
      </c>
      <c r="F1" s="7" t="s">
        <v>51</v>
      </c>
      <c r="G1" s="7" t="s">
        <v>52</v>
      </c>
    </row>
    <row r="2" spans="1:13" x14ac:dyDescent="0.2">
      <c r="A2" s="8" t="s">
        <v>32</v>
      </c>
      <c r="B2" s="9">
        <v>29736333.530000005</v>
      </c>
      <c r="C2" s="9">
        <v>29664283.809999999</v>
      </c>
      <c r="D2" s="9">
        <v>-72049.719999999972</v>
      </c>
      <c r="F2" s="7" t="s">
        <v>47</v>
      </c>
      <c r="G2" t="s">
        <v>16</v>
      </c>
      <c r="H2" t="s">
        <v>17</v>
      </c>
      <c r="I2" t="s">
        <v>21</v>
      </c>
      <c r="J2" t="s">
        <v>19</v>
      </c>
      <c r="K2" t="s">
        <v>18</v>
      </c>
      <c r="L2" t="s">
        <v>20</v>
      </c>
      <c r="M2" t="s">
        <v>48</v>
      </c>
    </row>
    <row r="3" spans="1:13" x14ac:dyDescent="0.2">
      <c r="A3" s="8" t="s">
        <v>12</v>
      </c>
      <c r="B3" s="9">
        <v>41164053.120000005</v>
      </c>
      <c r="C3" s="9">
        <v>41118843.00999999</v>
      </c>
      <c r="D3" s="9">
        <v>-45210.110000000299</v>
      </c>
      <c r="F3" s="8" t="s">
        <v>32</v>
      </c>
      <c r="G3" s="9">
        <v>36989.72000000003</v>
      </c>
      <c r="H3" s="9">
        <v>-81192.849999999919</v>
      </c>
      <c r="I3" s="9">
        <v>9632.9499999999607</v>
      </c>
      <c r="J3" s="9">
        <v>-13327.070000000036</v>
      </c>
      <c r="K3" s="9">
        <v>-24235.700000000041</v>
      </c>
      <c r="L3" s="9">
        <v>83.230000000032305</v>
      </c>
      <c r="M3" s="9">
        <v>-72049.719999999972</v>
      </c>
    </row>
    <row r="4" spans="1:13" x14ac:dyDescent="0.2">
      <c r="A4" s="8" t="s">
        <v>41</v>
      </c>
      <c r="B4" s="9">
        <v>36344496.049999982</v>
      </c>
      <c r="C4" s="9">
        <v>36535039.610000014</v>
      </c>
      <c r="D4" s="9">
        <v>190543.56000000006</v>
      </c>
      <c r="F4" s="8" t="s">
        <v>12</v>
      </c>
      <c r="G4" s="9">
        <v>29424.599999999686</v>
      </c>
      <c r="H4" s="9">
        <v>-19001.880000000063</v>
      </c>
      <c r="I4" s="9">
        <v>-713.71000000002095</v>
      </c>
      <c r="J4" s="9">
        <v>7274.3299999999872</v>
      </c>
      <c r="K4" s="9">
        <v>-56807.739999999874</v>
      </c>
      <c r="L4" s="9">
        <v>-5385.7100000000137</v>
      </c>
      <c r="M4" s="9">
        <v>-45210.110000000299</v>
      </c>
    </row>
    <row r="5" spans="1:13" x14ac:dyDescent="0.2">
      <c r="A5" s="8" t="s">
        <v>27</v>
      </c>
      <c r="B5" s="9">
        <v>44623501.769999996</v>
      </c>
      <c r="C5" s="9">
        <v>46181194.26000002</v>
      </c>
      <c r="D5" s="9">
        <v>1557692.49</v>
      </c>
      <c r="F5" s="8" t="s">
        <v>41</v>
      </c>
      <c r="G5" s="9">
        <v>-1548.5499999999884</v>
      </c>
      <c r="H5" s="9">
        <v>-47621.560000000114</v>
      </c>
      <c r="I5" s="9">
        <v>1270.7799999999988</v>
      </c>
      <c r="J5" s="9">
        <v>-8223.4199999999837</v>
      </c>
      <c r="K5" s="9">
        <v>242168.3000000001</v>
      </c>
      <c r="L5" s="9">
        <v>4498.0100000000093</v>
      </c>
      <c r="M5" s="9">
        <v>190543.56000000003</v>
      </c>
    </row>
    <row r="6" spans="1:13" x14ac:dyDescent="0.2">
      <c r="A6" s="8" t="s">
        <v>23</v>
      </c>
      <c r="B6" s="9">
        <v>34648455.799999982</v>
      </c>
      <c r="C6" s="9">
        <v>35536094.500000007</v>
      </c>
      <c r="D6" s="9">
        <v>887638.70000000088</v>
      </c>
      <c r="F6" s="8" t="s">
        <v>27</v>
      </c>
      <c r="G6" s="9">
        <v>76970.79999999993</v>
      </c>
      <c r="H6" s="9">
        <v>1068740.1000000003</v>
      </c>
      <c r="I6" s="9">
        <v>5722.9700000000303</v>
      </c>
      <c r="J6" s="9">
        <v>25866.23000000001</v>
      </c>
      <c r="K6" s="9">
        <v>373774.74999999977</v>
      </c>
      <c r="L6" s="9">
        <v>6617.6399999999776</v>
      </c>
      <c r="M6" s="9">
        <v>1557692.49</v>
      </c>
    </row>
    <row r="7" spans="1:13" x14ac:dyDescent="0.2">
      <c r="A7" s="8" t="s">
        <v>37</v>
      </c>
      <c r="B7" s="9">
        <v>25672035.609999996</v>
      </c>
      <c r="C7" s="9">
        <v>25774871.579999991</v>
      </c>
      <c r="D7" s="9">
        <v>102835.97000000066</v>
      </c>
      <c r="F7" s="8" t="s">
        <v>23</v>
      </c>
      <c r="G7" s="9">
        <v>845459.17000000016</v>
      </c>
      <c r="H7" s="9">
        <v>-16287.359999999986</v>
      </c>
      <c r="I7" s="9">
        <v>7563.4100000000035</v>
      </c>
      <c r="J7" s="9">
        <v>11991.120000000024</v>
      </c>
      <c r="K7" s="9">
        <v>37229.249999999942</v>
      </c>
      <c r="L7" s="9">
        <v>1683.1100000000151</v>
      </c>
      <c r="M7" s="9">
        <v>887638.70000000007</v>
      </c>
    </row>
    <row r="8" spans="1:13" x14ac:dyDescent="0.2">
      <c r="A8" s="8" t="s">
        <v>48</v>
      </c>
      <c r="B8" s="9">
        <v>212188875.87999994</v>
      </c>
      <c r="C8" s="9">
        <v>214810326.77000001</v>
      </c>
      <c r="D8" s="9">
        <v>2621450.8900000015</v>
      </c>
      <c r="F8" s="8" t="s">
        <v>37</v>
      </c>
      <c r="G8" s="9">
        <v>23278.220000000088</v>
      </c>
      <c r="H8" s="9">
        <v>49331.390000000101</v>
      </c>
      <c r="I8" s="9">
        <v>3978.6599999999817</v>
      </c>
      <c r="J8" s="9">
        <v>16760.18000000008</v>
      </c>
      <c r="K8" s="9">
        <v>7175.8599999999569</v>
      </c>
      <c r="L8" s="9">
        <v>2311.6600000000253</v>
      </c>
      <c r="M8" s="9">
        <v>102835.97000000023</v>
      </c>
    </row>
    <row r="9" spans="1:13" x14ac:dyDescent="0.2">
      <c r="F9" s="8" t="s">
        <v>48</v>
      </c>
      <c r="G9" s="9">
        <v>1010573.9599999998</v>
      </c>
      <c r="H9" s="9">
        <v>953967.84000000043</v>
      </c>
      <c r="I9" s="9">
        <v>27455.059999999954</v>
      </c>
      <c r="J9" s="9">
        <v>40341.370000000083</v>
      </c>
      <c r="K9" s="9">
        <v>579304.71999999986</v>
      </c>
      <c r="L9" s="9">
        <v>9807.940000000046</v>
      </c>
      <c r="M9" s="9">
        <v>2621450.89</v>
      </c>
    </row>
    <row r="10" spans="1:13" x14ac:dyDescent="0.2">
      <c r="A10" s="7" t="s">
        <v>1</v>
      </c>
      <c r="B10" t="s">
        <v>23</v>
      </c>
    </row>
    <row r="11" spans="1:13" x14ac:dyDescent="0.2">
      <c r="A11" s="7" t="s">
        <v>6</v>
      </c>
      <c r="B11" t="s">
        <v>16</v>
      </c>
    </row>
    <row r="13" spans="1:13" x14ac:dyDescent="0.2">
      <c r="A13" s="7" t="s">
        <v>47</v>
      </c>
      <c r="B13" t="s">
        <v>51</v>
      </c>
    </row>
    <row r="14" spans="1:13" x14ac:dyDescent="0.2">
      <c r="A14" s="10">
        <v>45292</v>
      </c>
      <c r="B14" s="9">
        <v>14249.539999999979</v>
      </c>
    </row>
    <row r="15" spans="1:13" x14ac:dyDescent="0.2">
      <c r="A15" s="10">
        <v>45323</v>
      </c>
      <c r="B15" s="9">
        <v>-2712.8899999999558</v>
      </c>
    </row>
    <row r="16" spans="1:13" x14ac:dyDescent="0.2">
      <c r="A16" s="10">
        <v>45352</v>
      </c>
      <c r="B16" s="9">
        <v>-6882.0100000000093</v>
      </c>
    </row>
    <row r="17" spans="1:2" x14ac:dyDescent="0.2">
      <c r="A17" s="10">
        <v>45383</v>
      </c>
      <c r="B17" s="9">
        <v>15440.140000000014</v>
      </c>
    </row>
    <row r="18" spans="1:2" x14ac:dyDescent="0.2">
      <c r="A18" s="10">
        <v>45413</v>
      </c>
      <c r="B18" s="9">
        <v>13023.900000000023</v>
      </c>
    </row>
    <row r="19" spans="1:2" x14ac:dyDescent="0.2">
      <c r="A19" s="10">
        <v>45444</v>
      </c>
      <c r="B19" s="9">
        <v>-3017.1500000000233</v>
      </c>
    </row>
    <row r="20" spans="1:2" x14ac:dyDescent="0.2">
      <c r="A20" s="10">
        <v>45474</v>
      </c>
      <c r="B20" s="9">
        <v>-2049.2799999999697</v>
      </c>
    </row>
    <row r="21" spans="1:2" x14ac:dyDescent="0.2">
      <c r="A21" s="10">
        <v>45505</v>
      </c>
      <c r="B21" s="9">
        <v>39273.130000000005</v>
      </c>
    </row>
    <row r="22" spans="1:2" x14ac:dyDescent="0.2">
      <c r="A22" s="10">
        <v>45536</v>
      </c>
      <c r="B22" s="9">
        <v>45169.530000000028</v>
      </c>
    </row>
    <row r="23" spans="1:2" x14ac:dyDescent="0.2">
      <c r="A23" s="10">
        <v>45566</v>
      </c>
      <c r="B23" s="9">
        <v>27689.400000000023</v>
      </c>
    </row>
    <row r="24" spans="1:2" x14ac:dyDescent="0.2">
      <c r="A24" s="10">
        <v>45597</v>
      </c>
      <c r="B24" s="9">
        <v>30836.390000000014</v>
      </c>
    </row>
    <row r="25" spans="1:2" x14ac:dyDescent="0.2">
      <c r="A25" s="10">
        <v>45627</v>
      </c>
      <c r="B25" s="9">
        <v>27336.700000000012</v>
      </c>
    </row>
    <row r="26" spans="1:2" x14ac:dyDescent="0.2">
      <c r="A26" s="10">
        <v>45658</v>
      </c>
      <c r="B26" s="9">
        <v>33499.780000000028</v>
      </c>
    </row>
    <row r="27" spans="1:2" x14ac:dyDescent="0.2">
      <c r="A27" s="10">
        <v>45689</v>
      </c>
      <c r="B27" s="9">
        <v>44220.070000000007</v>
      </c>
    </row>
    <row r="28" spans="1:2" x14ac:dyDescent="0.2">
      <c r="A28" s="10">
        <v>45717</v>
      </c>
      <c r="B28" s="9">
        <v>37685.850000000035</v>
      </c>
    </row>
    <row r="29" spans="1:2" x14ac:dyDescent="0.2">
      <c r="A29" s="10">
        <v>45748</v>
      </c>
      <c r="B29" s="9">
        <v>47587.520000000077</v>
      </c>
    </row>
    <row r="30" spans="1:2" x14ac:dyDescent="0.2">
      <c r="A30" s="10">
        <v>45778</v>
      </c>
      <c r="B30" s="9">
        <v>40761.56</v>
      </c>
    </row>
    <row r="31" spans="1:2" x14ac:dyDescent="0.2">
      <c r="A31" s="10">
        <v>45809</v>
      </c>
      <c r="B31" s="9">
        <v>56389.910000000033</v>
      </c>
    </row>
    <row r="32" spans="1:2" x14ac:dyDescent="0.2">
      <c r="A32" s="10">
        <v>45839</v>
      </c>
      <c r="B32" s="9">
        <v>54267.77999999997</v>
      </c>
    </row>
    <row r="33" spans="1:13" x14ac:dyDescent="0.2">
      <c r="A33" s="10">
        <v>45870</v>
      </c>
      <c r="B33" s="9">
        <v>72502.69</v>
      </c>
    </row>
    <row r="34" spans="1:13" x14ac:dyDescent="0.2">
      <c r="A34" s="10">
        <v>45901</v>
      </c>
      <c r="B34" s="9">
        <v>50980.649999999965</v>
      </c>
    </row>
    <row r="35" spans="1:13" x14ac:dyDescent="0.2">
      <c r="A35" s="10">
        <v>45931</v>
      </c>
      <c r="B35" s="9">
        <v>64492.129999999946</v>
      </c>
    </row>
    <row r="36" spans="1:13" x14ac:dyDescent="0.2">
      <c r="A36" s="10">
        <v>45962</v>
      </c>
      <c r="B36" s="9">
        <v>73842.890000000072</v>
      </c>
    </row>
    <row r="37" spans="1:13" x14ac:dyDescent="0.2">
      <c r="A37" s="10">
        <v>45992</v>
      </c>
      <c r="B37" s="9">
        <v>70870.939999999944</v>
      </c>
    </row>
    <row r="38" spans="1:13" x14ac:dyDescent="0.2">
      <c r="A38" s="10" t="s">
        <v>48</v>
      </c>
      <c r="B38" s="9">
        <v>845459.17000000016</v>
      </c>
    </row>
    <row r="40" spans="1:13" ht="30" customHeight="1" x14ac:dyDescent="0.2">
      <c r="A40" s="11" t="s">
        <v>53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2" spans="1:13" ht="38" customHeight="1" x14ac:dyDescent="0.2">
      <c r="A42" s="13" t="s">
        <v>54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 ht="52" customHeight="1" x14ac:dyDescent="0.2">
      <c r="A43" s="13" t="s">
        <v>55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1:13" ht="68" customHeight="1" x14ac:dyDescent="0.2">
      <c r="A44" s="13" t="s">
        <v>56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 ht="68" customHeight="1" x14ac:dyDescent="0.2">
      <c r="A45" s="14" t="s">
        <v>57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</sheetData>
  <mergeCells count="5">
    <mergeCell ref="A40:M40"/>
    <mergeCell ref="A42:M42"/>
    <mergeCell ref="A43:M43"/>
    <mergeCell ref="A44:M44"/>
    <mergeCell ref="A45:M45"/>
  </mergeCell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Excel_Analysis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Dille</dc:creator>
  <cp:lastModifiedBy>Jordan Dille</cp:lastModifiedBy>
  <dcterms:created xsi:type="dcterms:W3CDTF">2026-09-14T18:06:31Z</dcterms:created>
  <dcterms:modified xsi:type="dcterms:W3CDTF">2026-09-15T17:57:55Z</dcterms:modified>
</cp:coreProperties>
</file>